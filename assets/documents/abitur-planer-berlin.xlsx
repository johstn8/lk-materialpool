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05y03-my.sharepoint.com/personal/johann_stein_hcog_berlin/Documents/"/>
    </mc:Choice>
  </mc:AlternateContent>
  <xr:revisionPtr revIDLastSave="0" documentId="8_{7970CCE4-A7E8-4E6A-83A3-E30B1DCBF965}" xr6:coauthVersionLast="47" xr6:coauthVersionMax="47" xr10:uidLastSave="{00000000-0000-0000-0000-000000000000}"/>
  <bookViews>
    <workbookView xWindow="0" yWindow="760" windowWidth="34560" windowHeight="19800" firstSheet="2" activeTab="2" xr2:uid="{00000000-000D-0000-FFFF-FFFF00000000}"/>
  </bookViews>
  <sheets>
    <sheet name="ANLEITUNG" sheetId="6" r:id="rId1"/>
    <sheet name="Angebotene Kurse" sheetId="2" state="hidden" r:id="rId2"/>
    <sheet name="Kurswahl" sheetId="4" r:id="rId3"/>
    <sheet name="Notenrechner" sheetId="5" r:id="rId4"/>
    <sheet name="Kommentare" sheetId="8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4" l="1"/>
  <c r="E34" i="4"/>
  <c r="G33" i="4"/>
  <c r="G32" i="4"/>
  <c r="G25" i="4"/>
  <c r="G24" i="4"/>
  <c r="G31" i="4"/>
  <c r="G30" i="4"/>
  <c r="G30" i="5" a="1"/>
  <c r="G30" i="5"/>
  <c r="K7" i="4" a="1"/>
  <c r="K15" i="4" a="1"/>
  <c r="K16" i="4" a="1"/>
  <c r="K7" i="4"/>
  <c r="K15" i="4"/>
  <c r="K16" i="4"/>
  <c r="B9" i="8"/>
  <c r="P22" i="5"/>
  <c r="G29" i="4"/>
  <c r="G28" i="4"/>
  <c r="G27" i="4"/>
  <c r="G26" i="4"/>
  <c r="B4" i="4" a="1"/>
  <c r="G10" i="4"/>
  <c r="G23" i="4"/>
  <c r="G21" i="4"/>
  <c r="G20" i="4"/>
  <c r="G19" i="4"/>
  <c r="G18" i="4"/>
  <c r="G16" i="4"/>
  <c r="G15" i="4"/>
  <c r="G14" i="4"/>
  <c r="G13" i="4"/>
  <c r="G12" i="4"/>
  <c r="G9" i="4"/>
  <c r="G8" i="4"/>
  <c r="G7" i="4"/>
  <c r="G6" i="4"/>
  <c r="G4" i="4"/>
  <c r="G5" i="4"/>
  <c r="G11" i="4"/>
  <c r="G17" i="4"/>
  <c r="G22" i="4"/>
  <c r="G34" i="4"/>
  <c r="B4" i="4"/>
  <c r="B4" i="5" a="1"/>
  <c r="K12" i="4" a="1"/>
  <c r="K12" i="4"/>
  <c r="K14" i="4" a="1"/>
  <c r="K14" i="4"/>
  <c r="K22" i="4" a="1"/>
  <c r="K22" i="4"/>
  <c r="K23" i="4" a="1"/>
  <c r="K23" i="4"/>
  <c r="C19" i="5" a="1"/>
  <c r="K4" i="4" a="1"/>
  <c r="K4" i="4"/>
  <c r="K5" i="4" a="1"/>
  <c r="K5" i="4"/>
  <c r="K8" i="4" a="1"/>
  <c r="K8" i="4"/>
  <c r="K9" i="4" a="1"/>
  <c r="K9" i="4"/>
  <c r="K10" i="4" a="1"/>
  <c r="K10" i="4"/>
  <c r="K11" i="4" a="1"/>
  <c r="K11" i="4"/>
  <c r="K13" i="4" a="1"/>
  <c r="K13" i="4"/>
  <c r="K18" i="4" a="1"/>
  <c r="K18" i="4"/>
  <c r="K19" i="4" a="1"/>
  <c r="K19" i="4"/>
  <c r="K20" i="4" a="1"/>
  <c r="K20" i="4"/>
  <c r="K24" i="4" a="1"/>
  <c r="K24" i="4"/>
  <c r="K25" i="4" a="1"/>
  <c r="K25" i="4"/>
  <c r="K27" i="4" a="1"/>
  <c r="K27" i="4"/>
  <c r="K28" i="4" a="1"/>
  <c r="K28" i="4"/>
  <c r="K29" i="4" a="1"/>
  <c r="K29" i="4"/>
  <c r="K30" i="4" a="1"/>
  <c r="K30" i="4"/>
  <c r="K32" i="4" a="1"/>
  <c r="K32" i="4"/>
  <c r="K33" i="4" a="1"/>
  <c r="K33" i="4"/>
  <c r="G26" i="5" a="1"/>
  <c r="G26" i="5"/>
  <c r="P17" i="5" a="1"/>
  <c r="P17" i="5"/>
  <c r="P5" i="5" a="1"/>
  <c r="P5" i="5"/>
  <c r="C26" i="5" a="1"/>
  <c r="C26" i="5"/>
  <c r="C27" i="5"/>
  <c r="P9" i="5"/>
  <c r="G27" i="5"/>
  <c r="P13" i="5" a="1"/>
  <c r="P13" i="5"/>
  <c r="C19" i="5"/>
  <c r="P4" i="5" a="1"/>
  <c r="P4" i="5"/>
  <c r="P6" i="5" a="1"/>
  <c r="P6" i="5"/>
  <c r="P7" i="5" a="1"/>
  <c r="P7" i="5"/>
  <c r="G28" i="5" a="1"/>
  <c r="G28" i="5"/>
  <c r="G29" i="5"/>
  <c r="P11" i="5" a="1"/>
  <c r="P11" i="5"/>
  <c r="P10" i="5" a="1"/>
  <c r="P10" i="5"/>
  <c r="P12" i="5" a="1"/>
  <c r="P12" i="5"/>
  <c r="P16" i="5" a="1"/>
  <c r="P16" i="5"/>
  <c r="P19" i="5" a="1"/>
  <c r="P19" i="5"/>
  <c r="P20" i="5" a="1"/>
  <c r="P20" i="5"/>
  <c r="P24" i="5" a="1"/>
  <c r="P24" i="5"/>
  <c r="P25" i="5" a="1"/>
  <c r="P25" i="5"/>
  <c r="P26" i="5" a="1"/>
  <c r="P26" i="5"/>
  <c r="B4" i="5"/>
  <c r="P28" i="5" a="1"/>
  <c r="P28" i="5"/>
  <c r="P29" i="5" a="1"/>
  <c r="P29" i="5"/>
  <c r="P30" i="5" a="1"/>
  <c r="P30" i="5"/>
  <c r="P32" i="5" a="1"/>
  <c r="P32" i="5"/>
  <c r="P33" i="5" a="1"/>
  <c r="P33" i="5"/>
  <c r="P34" i="5" a="1"/>
  <c r="P34" i="5"/>
  <c r="P35" i="5" a="1"/>
  <c r="P35" i="5"/>
  <c r="P37" i="5" a="1"/>
  <c r="P37" i="5"/>
  <c r="P38" i="5" a="1"/>
  <c r="P38" i="5"/>
  <c r="P39" i="5" a="1"/>
  <c r="P39" i="5"/>
  <c r="P40" i="5" a="1"/>
  <c r="P40" i="5"/>
  <c r="B32" i="5" a="1"/>
  <c r="B32" i="5"/>
  <c r="C29" i="5" a="1"/>
  <c r="C29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<sst xmlns="http://schemas.openxmlformats.org/spreadsheetml/2006/main" count="198" uniqueCount="155">
  <si>
    <t>Anleitung für den Abitur-Planer</t>
  </si>
  <si>
    <r>
      <rPr>
        <sz val="11"/>
        <color rgb="FF000000"/>
        <rFont val="Aptos Narrow"/>
        <scheme val="minor"/>
      </rPr>
      <t xml:space="preserve">Mithilfe von diesem </t>
    </r>
    <r>
      <rPr>
        <b/>
        <sz val="11"/>
        <color rgb="FF000000"/>
        <rFont val="Aptos Narrow"/>
        <scheme val="minor"/>
      </rPr>
      <t>Abitur-Planer</t>
    </r>
    <r>
      <rPr>
        <sz val="11"/>
        <color rgb="FF000000"/>
        <rFont val="Aptos Narrow"/>
        <scheme val="minor"/>
      </rPr>
      <t xml:space="preserve"> soll die </t>
    </r>
    <r>
      <rPr>
        <b/>
        <sz val="11"/>
        <color rgb="FF000000"/>
        <rFont val="Aptos Narrow"/>
        <scheme val="minor"/>
      </rPr>
      <t>Kurswahl</t>
    </r>
    <r>
      <rPr>
        <sz val="11"/>
        <color rgb="FF000000"/>
        <rFont val="Aptos Narrow"/>
        <scheme val="minor"/>
      </rPr>
      <t xml:space="preserve"> und die </t>
    </r>
    <r>
      <rPr>
        <b/>
        <sz val="11"/>
        <color rgb="FF000000"/>
        <rFont val="Aptos Narrow"/>
        <scheme val="minor"/>
      </rPr>
      <t>Notenberechnung</t>
    </r>
    <r>
      <rPr>
        <sz val="11"/>
        <color rgb="FF000000"/>
        <rFont val="Aptos Narrow"/>
        <scheme val="minor"/>
      </rPr>
      <t xml:space="preserve"> für das Abitur einfacher und transparenter gestaltet sein.</t>
    </r>
  </si>
  <si>
    <r>
      <rPr>
        <b/>
        <sz val="11"/>
        <color rgb="FF000000"/>
        <rFont val="Aptos Narrow"/>
        <scheme val="minor"/>
      </rPr>
      <t>Alle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Regeln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der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Gesetzestexte</t>
    </r>
    <r>
      <rPr>
        <sz val="11"/>
        <color rgb="FF000000"/>
        <rFont val="Aptos Narrow"/>
        <scheme val="minor"/>
      </rPr>
      <t xml:space="preserve"> sind hier übernommen, sodass die Kurswahl und Notenberechnung exemplarisch und korrekt durchgeführt werden kann.</t>
    </r>
  </si>
  <si>
    <t>→ VO-GO Berlin</t>
  </si>
  <si>
    <r>
      <rPr>
        <sz val="11"/>
        <color rgb="FF000000"/>
        <rFont val="Aptos Narrow"/>
      </rPr>
      <t xml:space="preserve">Speichert euch bitte zunächst </t>
    </r>
    <r>
      <rPr>
        <b/>
        <sz val="11"/>
        <color rgb="FF000000"/>
        <rFont val="Aptos Narrow"/>
      </rPr>
      <t>oben rechts</t>
    </r>
    <r>
      <rPr>
        <sz val="11"/>
        <color rgb="FF000000"/>
        <rFont val="Aptos Narrow"/>
      </rPr>
      <t xml:space="preserve"> eine </t>
    </r>
    <r>
      <rPr>
        <b/>
        <sz val="11"/>
        <color rgb="FF000000"/>
        <rFont val="Aptos Narrow"/>
      </rPr>
      <t>Kopie</t>
    </r>
    <r>
      <rPr>
        <sz val="11"/>
        <color rgb="FF000000"/>
        <rFont val="Aptos Narrow"/>
      </rPr>
      <t xml:space="preserve"> (auf das </t>
    </r>
    <r>
      <rPr>
        <b/>
        <sz val="11"/>
        <color rgb="FF000000"/>
        <rFont val="Aptos Narrow"/>
      </rPr>
      <t>grüne</t>
    </r>
    <r>
      <rPr>
        <sz val="11"/>
        <color rgb="FF000000"/>
        <rFont val="Aptos Narrow"/>
      </rPr>
      <t xml:space="preserve"> </t>
    </r>
    <r>
      <rPr>
        <b/>
        <sz val="11"/>
        <color rgb="FF000000"/>
        <rFont val="Aptos Narrow"/>
      </rPr>
      <t>Pop-Up</t>
    </r>
    <r>
      <rPr>
        <sz val="11"/>
        <color rgb="FF000000"/>
        <rFont val="Aptos Narrow"/>
      </rPr>
      <t xml:space="preserve"> klicken), sonst könnt ihr die Datei nicht bearbeiten!</t>
    </r>
  </si>
  <si>
    <t>Es gibt 2 für euch wichtige Sheets</t>
  </si>
  <si>
    <t>Kurswahl</t>
  </si>
  <si>
    <r>
      <rPr>
        <sz val="11"/>
        <color rgb="FF000000"/>
        <rFont val="Aptos Narrow"/>
        <scheme val="minor"/>
      </rPr>
      <t xml:space="preserve">Hier könnt ihr eure Kurse für die </t>
    </r>
    <r>
      <rPr>
        <b/>
        <sz val="11"/>
        <color rgb="FF000000"/>
        <rFont val="Aptos Narrow"/>
        <scheme val="minor"/>
      </rPr>
      <t>Oberstufe</t>
    </r>
    <r>
      <rPr>
        <sz val="11"/>
        <color rgb="FF000000"/>
        <rFont val="Aptos Narrow"/>
        <scheme val="minor"/>
      </rPr>
      <t xml:space="preserve"> wählen. </t>
    </r>
    <r>
      <rPr>
        <b/>
        <sz val="11"/>
        <color rgb="FF000000"/>
        <rFont val="Aptos Narrow"/>
        <scheme val="minor"/>
      </rPr>
      <t>Links</t>
    </r>
    <r>
      <rPr>
        <sz val="11"/>
        <color rgb="FF000000"/>
        <rFont val="Aptos Narrow"/>
        <scheme val="minor"/>
      </rPr>
      <t xml:space="preserve"> sind die </t>
    </r>
    <r>
      <rPr>
        <b/>
        <sz val="11"/>
        <color rgb="FF000000"/>
        <rFont val="Aptos Narrow"/>
        <scheme val="minor"/>
      </rPr>
      <t>Kurse</t>
    </r>
    <r>
      <rPr>
        <sz val="11"/>
        <color rgb="FF000000"/>
        <rFont val="Aptos Narrow"/>
        <scheme val="minor"/>
      </rPr>
      <t xml:space="preserve"> zu finden und </t>
    </r>
    <r>
      <rPr>
        <b/>
        <sz val="11"/>
        <color rgb="FF000000"/>
        <rFont val="Aptos Narrow"/>
        <scheme val="minor"/>
      </rPr>
      <t>rechts</t>
    </r>
    <r>
      <rPr>
        <sz val="11"/>
        <color rgb="FF000000"/>
        <rFont val="Aptos Narrow"/>
        <scheme val="minor"/>
      </rPr>
      <t xml:space="preserve"> findet ihr die </t>
    </r>
    <r>
      <rPr>
        <b/>
        <sz val="11"/>
        <color rgb="FF000000"/>
        <rFont val="Aptos Narrow"/>
        <scheme val="minor"/>
      </rPr>
      <t>Regeln</t>
    </r>
    <r>
      <rPr>
        <sz val="11"/>
        <color rgb="FF000000"/>
        <rFont val="Aptos Narrow"/>
        <scheme val="minor"/>
      </rPr>
      <t xml:space="preserve">. Klickt bitte auf die </t>
    </r>
    <r>
      <rPr>
        <b/>
        <sz val="11"/>
        <color rgb="FF000000"/>
        <rFont val="Aptos Narrow"/>
        <scheme val="minor"/>
      </rPr>
      <t>jeweiligen Kästchen</t>
    </r>
    <r>
      <rPr>
        <sz val="11"/>
        <color rgb="FF000000"/>
        <rFont val="Aptos Narrow"/>
        <scheme val="minor"/>
      </rPr>
      <t xml:space="preserve">, um die </t>
    </r>
    <r>
      <rPr>
        <b/>
        <sz val="11"/>
        <color rgb="FF000000"/>
        <rFont val="Aptos Narrow"/>
        <scheme val="minor"/>
      </rPr>
      <t>Kurse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auszuwählen</t>
    </r>
    <r>
      <rPr>
        <sz val="11"/>
        <color rgb="FF000000"/>
        <rFont val="Aptos Narrow"/>
        <scheme val="minor"/>
      </rPr>
      <t xml:space="preserve">. Einige </t>
    </r>
    <r>
      <rPr>
        <b/>
        <sz val="11"/>
        <color rgb="FF000000"/>
        <rFont val="Aptos Narrow"/>
        <scheme val="minor"/>
      </rPr>
      <t>Kurse</t>
    </r>
    <r>
      <rPr>
        <sz val="11"/>
        <color rgb="FF000000"/>
        <rFont val="Aptos Narrow"/>
        <scheme val="minor"/>
      </rPr>
      <t xml:space="preserve"> könnt ihr z. B. für Q3/Q4 </t>
    </r>
    <r>
      <rPr>
        <b/>
        <sz val="11"/>
        <color rgb="FF000000"/>
        <rFont val="Aptos Narrow"/>
        <scheme val="minor"/>
      </rPr>
      <t>nicht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auswählen</t>
    </r>
    <r>
      <rPr>
        <sz val="11"/>
        <color rgb="FF000000"/>
        <rFont val="Aptos Narrow"/>
        <scheme val="minor"/>
      </rPr>
      <t xml:space="preserve">, da die nicht für </t>
    </r>
    <r>
      <rPr>
        <b/>
        <sz val="11"/>
        <color rgb="FF000000"/>
        <rFont val="Aptos Narrow"/>
        <scheme val="minor"/>
      </rPr>
      <t>beide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Abiturjahre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am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HCG</t>
    </r>
    <r>
      <rPr>
        <sz val="11"/>
        <color rgb="FF000000"/>
        <rFont val="Aptos Narrow"/>
        <scheme val="minor"/>
      </rPr>
      <t xml:space="preserve"> angeboten werden. Die </t>
    </r>
    <r>
      <rPr>
        <b/>
        <sz val="11"/>
        <color rgb="FF000000"/>
        <rFont val="Aptos Narrow"/>
        <scheme val="minor"/>
      </rPr>
      <t>Prüfungsfächer</t>
    </r>
    <r>
      <rPr>
        <sz val="11"/>
        <color rgb="FF000000"/>
        <rFont val="Aptos Narrow"/>
        <scheme val="minor"/>
      </rPr>
      <t xml:space="preserve"> wählt ihr in der </t>
    </r>
    <r>
      <rPr>
        <b/>
        <sz val="11"/>
        <color rgb="FF000000"/>
        <rFont val="Aptos Narrow"/>
        <scheme val="minor"/>
      </rPr>
      <t>grauen Spalte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„PF“</t>
    </r>
    <r>
      <rPr>
        <sz val="11"/>
        <color rgb="FF000000"/>
        <rFont val="Aptos Narrow"/>
        <scheme val="minor"/>
      </rPr>
      <t xml:space="preserve"> aus. Am Ende müssen </t>
    </r>
    <r>
      <rPr>
        <b/>
        <sz val="11"/>
        <color rgb="FF000000"/>
        <rFont val="Aptos Narrow"/>
        <scheme val="minor"/>
      </rPr>
      <t>alle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Regeln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WAHR</t>
    </r>
    <r>
      <rPr>
        <sz val="11"/>
        <color rgb="FF000000"/>
        <rFont val="Aptos Narrow"/>
        <scheme val="minor"/>
      </rPr>
      <t xml:space="preserve"> sein!</t>
    </r>
  </si>
  <si>
    <t>Notenrechner</t>
  </si>
  <si>
    <r>
      <rPr>
        <sz val="11"/>
        <color rgb="FF000000"/>
        <rFont val="Aptos Narrow"/>
        <scheme val="minor"/>
      </rPr>
      <t xml:space="preserve">Mit eurer Kurswahl könnt ihr hier jetzt eure </t>
    </r>
    <r>
      <rPr>
        <b/>
        <sz val="11"/>
        <color rgb="FF000000"/>
        <rFont val="Aptos Narrow"/>
        <scheme val="minor"/>
      </rPr>
      <t>Abitur-Note</t>
    </r>
    <r>
      <rPr>
        <sz val="11"/>
        <color rgb="FF000000"/>
        <rFont val="Aptos Narrow"/>
        <scheme val="minor"/>
      </rPr>
      <t xml:space="preserve"> ausrechnen. Dafür tragt ihr </t>
    </r>
    <r>
      <rPr>
        <b/>
        <sz val="11"/>
        <color rgb="FF000000"/>
        <rFont val="Aptos Narrow"/>
        <scheme val="minor"/>
      </rPr>
      <t>links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vom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Kästchen</t>
    </r>
    <r>
      <rPr>
        <sz val="11"/>
        <color rgb="FF000000"/>
        <rFont val="Aptos Narrow"/>
        <scheme val="minor"/>
      </rPr>
      <t xml:space="preserve"> eure </t>
    </r>
    <r>
      <rPr>
        <b/>
        <sz val="11"/>
        <color rgb="FF000000"/>
        <rFont val="Aptos Narrow"/>
        <scheme val="minor"/>
      </rPr>
      <t>Noten</t>
    </r>
    <r>
      <rPr>
        <sz val="11"/>
        <color rgb="FF000000"/>
        <rFont val="Aptos Narrow"/>
        <scheme val="minor"/>
      </rPr>
      <t xml:space="preserve"> ein und hakt einfach alle Kurse ab, die ihr </t>
    </r>
    <r>
      <rPr>
        <b/>
        <sz val="11"/>
        <color rgb="FF000000"/>
        <rFont val="Aptos Narrow"/>
        <scheme val="minor"/>
      </rPr>
      <t>einbringen</t>
    </r>
    <r>
      <rPr>
        <sz val="11"/>
        <color rgb="FF000000"/>
        <rFont val="Aptos Narrow"/>
        <scheme val="minor"/>
      </rPr>
      <t xml:space="preserve"> wollt. Nur die abgehakten Kurse bzw. Noten zählen dann in die </t>
    </r>
    <r>
      <rPr>
        <b/>
        <sz val="11"/>
        <color rgb="FF000000"/>
        <rFont val="Aptos Narrow"/>
        <scheme val="minor"/>
      </rPr>
      <t>Abi-Note</t>
    </r>
    <r>
      <rPr>
        <sz val="11"/>
        <color rgb="FF000000"/>
        <rFont val="Aptos Narrow"/>
        <scheme val="minor"/>
      </rPr>
      <t xml:space="preserve"> ein. Ihr müsst </t>
    </r>
    <r>
      <rPr>
        <b/>
        <sz val="11"/>
        <color rgb="FF000000"/>
        <rFont val="Aptos Narrow"/>
        <scheme val="minor"/>
      </rPr>
      <t>genau 32 Kurse</t>
    </r>
    <r>
      <rPr>
        <sz val="11"/>
        <color rgb="FF000000"/>
        <rFont val="Aptos Narrow"/>
        <scheme val="minor"/>
      </rPr>
      <t xml:space="preserve"> auswählen (1. Regel), damit eure </t>
    </r>
    <r>
      <rPr>
        <b/>
        <sz val="11"/>
        <color rgb="FF000000"/>
        <rFont val="Aptos Narrow"/>
        <scheme val="minor"/>
      </rPr>
      <t>Note vollständig gültig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ist</t>
    </r>
    <r>
      <rPr>
        <sz val="11"/>
        <color rgb="FF000000"/>
        <rFont val="Aptos Narrow"/>
        <scheme val="minor"/>
      </rPr>
      <t xml:space="preserve">! Bei </t>
    </r>
    <r>
      <rPr>
        <b/>
        <sz val="11"/>
        <color rgb="FF000000"/>
        <rFont val="Aptos Narrow"/>
        <scheme val="minor"/>
      </rPr>
      <t>weniger als 32 Kursen</t>
    </r>
    <r>
      <rPr>
        <sz val="11"/>
        <color rgb="FF000000"/>
        <rFont val="Aptos Narrow"/>
        <scheme val="minor"/>
      </rPr>
      <t xml:space="preserve"> ist das eure </t>
    </r>
    <r>
      <rPr>
        <b/>
        <sz val="11"/>
        <color rgb="FF000000"/>
        <rFont val="Aptos Narrow"/>
        <scheme val="minor"/>
      </rPr>
      <t>angepeilte Note</t>
    </r>
    <r>
      <rPr>
        <sz val="11"/>
        <color rgb="FF000000"/>
        <rFont val="Aptos Narrow"/>
        <scheme val="minor"/>
      </rPr>
      <t xml:space="preserve">. Insgesamt müssen </t>
    </r>
    <r>
      <rPr>
        <b/>
        <sz val="11"/>
        <color rgb="FF000000"/>
        <rFont val="Aptos Narrow"/>
        <scheme val="minor"/>
      </rPr>
      <t>alle Regeln rechts WAHR</t>
    </r>
    <r>
      <rPr>
        <sz val="11"/>
        <color rgb="FF000000"/>
        <rFont val="Aptos Narrow"/>
        <scheme val="minor"/>
      </rPr>
      <t xml:space="preserve"> sein, damit die </t>
    </r>
    <r>
      <rPr>
        <b/>
        <sz val="11"/>
        <color rgb="FF000000"/>
        <rFont val="Aptos Narrow"/>
        <scheme val="minor"/>
      </rPr>
      <t>Note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auch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so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gültig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ist</t>
    </r>
    <r>
      <rPr>
        <sz val="11"/>
        <color rgb="FF000000"/>
        <rFont val="Aptos Narrow"/>
        <scheme val="minor"/>
      </rPr>
      <t>!</t>
    </r>
  </si>
  <si>
    <r>
      <rPr>
        <b/>
        <sz val="11"/>
        <color rgb="FFC94079"/>
        <rFont val="Aptos Narrow"/>
        <scheme val="minor"/>
      </rPr>
      <t>Belegen heißt</t>
    </r>
    <r>
      <rPr>
        <sz val="11"/>
        <color rgb="FF000000"/>
        <rFont val="Aptos Narrow"/>
        <scheme val="minor"/>
      </rPr>
      <t xml:space="preserve">, ihr besucht die Kurse im Abitur, </t>
    </r>
    <r>
      <rPr>
        <b/>
        <sz val="11"/>
        <color rgb="FFC94079"/>
        <rFont val="Aptos Narrow"/>
        <scheme val="minor"/>
      </rPr>
      <t>einbringen heißt</t>
    </r>
    <r>
      <rPr>
        <sz val="11"/>
        <color rgb="FF000000"/>
        <rFont val="Aptos Narrow"/>
        <scheme val="minor"/>
      </rPr>
      <t xml:space="preserve"> die Kurse zählen auch wirklich in eure Abitur-Note. Nicht jeder Kurs muss in eure Note zählen, aber einige schon. Und dafür gibt es Regeln.</t>
    </r>
  </si>
  <si>
    <r>
      <rPr>
        <sz val="11"/>
        <color rgb="FF000000"/>
        <rFont val="Aptos Narrow"/>
        <scheme val="minor"/>
      </rPr>
      <t xml:space="preserve">Ihr könnt gerne den </t>
    </r>
    <r>
      <rPr>
        <b/>
        <sz val="11"/>
        <color rgb="FF000000"/>
        <rFont val="Aptos Narrow"/>
        <scheme val="minor"/>
      </rPr>
      <t>Notenrechner</t>
    </r>
    <r>
      <rPr>
        <sz val="11"/>
        <color rgb="FF000000"/>
        <rFont val="Aptos Narrow"/>
        <scheme val="minor"/>
      </rPr>
      <t xml:space="preserve"> mit </t>
    </r>
    <r>
      <rPr>
        <b/>
        <sz val="11"/>
        <color rgb="FF000000"/>
        <rFont val="Aptos Narrow"/>
        <scheme val="minor"/>
      </rPr>
      <t>Vermutungen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auffüllen</t>
    </r>
    <r>
      <rPr>
        <sz val="11"/>
        <color rgb="FF000000"/>
        <rFont val="Aptos Narrow"/>
        <scheme val="minor"/>
      </rPr>
      <t xml:space="preserve">, um euch auszurechnen, welche </t>
    </r>
    <r>
      <rPr>
        <b/>
        <sz val="11"/>
        <color rgb="FF000000"/>
        <rFont val="Aptos Narrow"/>
        <scheme val="minor"/>
      </rPr>
      <t>Note</t>
    </r>
    <r>
      <rPr>
        <sz val="11"/>
        <color rgb="FF000000"/>
        <rFont val="Aptos Narrow"/>
        <scheme val="minor"/>
      </rPr>
      <t xml:space="preserve"> ihr </t>
    </r>
    <r>
      <rPr>
        <b/>
        <sz val="11"/>
        <color rgb="FF000000"/>
        <rFont val="Aptos Narrow"/>
        <scheme val="minor"/>
      </rPr>
      <t>im Abi bekommen könntet</t>
    </r>
    <r>
      <rPr>
        <sz val="11"/>
        <color rgb="FF000000"/>
        <rFont val="Aptos Narrow"/>
        <scheme val="minor"/>
      </rPr>
      <t xml:space="preserve">. Füllt dafür am Besten erst alles aus und guckt erst dann, welche </t>
    </r>
    <r>
      <rPr>
        <b/>
        <sz val="11"/>
        <color rgb="FF000000"/>
        <rFont val="Aptos Narrow"/>
        <scheme val="minor"/>
      </rPr>
      <t>Regeln falsch</t>
    </r>
    <r>
      <rPr>
        <sz val="11"/>
        <color rgb="FF000000"/>
        <rFont val="Aptos Narrow"/>
        <scheme val="minor"/>
      </rPr>
      <t xml:space="preserve"> sind.</t>
    </r>
  </si>
  <si>
    <t>Am besten, ihr benutzt den Notenrechner am Computer oder Laptop.</t>
  </si>
  <si>
    <t>Viel Spaß!</t>
  </si>
  <si>
    <t>Nachfragen bitte an schuelervertretung@hcog.de</t>
  </si>
  <si>
    <t>Dieser Abitur-Rechner basiert auf der Fassung der VO-GO Berlin vom 01.11.2025</t>
  </si>
  <si>
    <t>Für die Richtigkeit der Berechnungen und Ergebnisse wird keine Haftung übernommen</t>
  </si>
  <si>
    <t>© Johann Stein, 2026</t>
  </si>
  <si>
    <t>Angebotene Kurse</t>
  </si>
  <si>
    <t>Kurs</t>
  </si>
  <si>
    <t>LK?</t>
  </si>
  <si>
    <t>Q1/2</t>
  </si>
  <si>
    <t>Q3/4</t>
  </si>
  <si>
    <t>Typ</t>
  </si>
  <si>
    <t>1. Aufgabenfeld</t>
  </si>
  <si>
    <t>Deutsch</t>
  </si>
  <si>
    <t>Englisch</t>
  </si>
  <si>
    <t>Fremdsprache</t>
  </si>
  <si>
    <t>Französisch</t>
  </si>
  <si>
    <t>Spanisch</t>
  </si>
  <si>
    <t>Latein</t>
  </si>
  <si>
    <t>Musik</t>
  </si>
  <si>
    <t>Künstlerisch</t>
  </si>
  <si>
    <t>Kunst</t>
  </si>
  <si>
    <t>DS</t>
  </si>
  <si>
    <t>2. Aufgabenfeld</t>
  </si>
  <si>
    <t>Geschichte</t>
  </si>
  <si>
    <t>Gesellschaftswissenschaft</t>
  </si>
  <si>
    <t>Geschichte bili</t>
  </si>
  <si>
    <t>Politikwissenschaften</t>
  </si>
  <si>
    <t>Geografie</t>
  </si>
  <si>
    <t>Geografie bili</t>
  </si>
  <si>
    <t>Philosophie</t>
  </si>
  <si>
    <t>3. Aufgabenfeld</t>
  </si>
  <si>
    <t>Mathematik</t>
  </si>
  <si>
    <t>Physik</t>
  </si>
  <si>
    <t>Naturwissenschaft</t>
  </si>
  <si>
    <t>Chemie</t>
  </si>
  <si>
    <t>Biologie</t>
  </si>
  <si>
    <t>Informatik</t>
  </si>
  <si>
    <t>Sport</t>
  </si>
  <si>
    <t>Sport Theorie</t>
  </si>
  <si>
    <t>Skifahrt</t>
  </si>
  <si>
    <t>Zusatzkurse</t>
  </si>
  <si>
    <t>Chor</t>
  </si>
  <si>
    <t>Ensemblemusik</t>
  </si>
  <si>
    <t>Orchester</t>
  </si>
  <si>
    <t>Digitale Welten</t>
  </si>
  <si>
    <t>Neuro</t>
  </si>
  <si>
    <t>STUB (ESB)</t>
  </si>
  <si>
    <t>Beruf &amp; Studium</t>
  </si>
  <si>
    <t>Sportmedizin</t>
  </si>
  <si>
    <t>CCC</t>
  </si>
  <si>
    <t>Debating</t>
  </si>
  <si>
    <t>Kommentare  ⇒</t>
  </si>
  <si>
    <t>Zu erfüllende Regeln</t>
  </si>
  <si>
    <t>PF</t>
  </si>
  <si>
    <t>Ges.</t>
  </si>
  <si>
    <t>Zwei Leistungskurse 8 Semester und mind. 32 Semester Grundkurse</t>
  </si>
  <si>
    <t>Minimal 8, Maximal 12 Kurse pro Semester</t>
  </si>
  <si>
    <t>Prüfungsfächer</t>
  </si>
  <si>
    <t>Alle Prüfungsfächer genau eingetragen (2x LF, 3. PF*, 4. PF*, 5. PK)</t>
  </si>
  <si>
    <t xml:space="preserve">    Ein Leistungskurs muss eine Fremdsprache*, Deutsch, Mathe oder eine NaWi sein</t>
  </si>
  <si>
    <t xml:space="preserve">    Zwei Kurse von Mathe, Deutsch und Fremdsprache müssen PFs sein (LF, 3. PF, 4. PF)</t>
  </si>
  <si>
    <t xml:space="preserve">    Prüfungsfächer 3 und 4 darf nur eines der Fächer Musik, Kunst, DS und Sport sein</t>
  </si>
  <si>
    <t xml:space="preserve">    Sport und DS dürfen nicht 3. PF sein</t>
  </si>
  <si>
    <t xml:space="preserve">    Prüfungsfächer + 5. PK aus allen 3 Aufgabenfeldern</t>
  </si>
  <si>
    <t xml:space="preserve">    Ist Sport PF oder 5. PK: Zwei Semester Sport Theorie belegen</t>
  </si>
  <si>
    <t xml:space="preserve">    Zusatzkurse/Ski/Sport Theorie sind keine Prüfungsfächer/Referenzfach der 5. PK</t>
  </si>
  <si>
    <t>3. und 4. Prüfungsfach durchgängig belegt</t>
  </si>
  <si>
    <t>Referenzfach der 5. PK durchgängig belegt</t>
  </si>
  <si>
    <t>Aufgabenfeld 1</t>
  </si>
  <si>
    <t>Deutsch vier Semester belegt</t>
  </si>
  <si>
    <t>Fremdsprache vier Semester belegt</t>
  </si>
  <si>
    <t>Ein künstlerisches Fach (Musik, Kunst, DS) zwei Semester belegt</t>
  </si>
  <si>
    <t>Aufgabenfeld 2</t>
  </si>
  <si>
    <t>Fach aus Aufgabenfeld 2 durchgängig belegt + zwei Semester eines weiteren Kurses</t>
  </si>
  <si>
    <t xml:space="preserve">    Ist Geschichte durchgängig belegt: Q3-Q4 Politik oder ein anderes Fach durchgängig</t>
  </si>
  <si>
    <t xml:space="preserve">    Nicht Geschichte durchgängig belegt: Q3-Q4 Geschichte verpflichtend**</t>
  </si>
  <si>
    <t>Kurse nicht doppelt belegen (mit bilingualen Kursen)</t>
  </si>
  <si>
    <t>Aufgabenfeld 3</t>
  </si>
  <si>
    <t>Mathematik vier Semester belegt</t>
  </si>
  <si>
    <t>Eine Naturwissenschaft durchgängig belegt</t>
  </si>
  <si>
    <t xml:space="preserve">    Bei Biologie: Belegung von mind. Q1/2 oder Q3/4 vom Fach Physik und/oder Chemie</t>
  </si>
  <si>
    <t>Vier Semester Sport-Praxis belegt</t>
  </si>
  <si>
    <t>Schulinterne Regelungen</t>
  </si>
  <si>
    <t>Einhaltung der Leistungskurswahl mit dem schulinternen Angebot</t>
  </si>
  <si>
    <t>Einhaltung der Kurswahl mit dem schulinternen Angebot (Vgl. „Angebotene Kurse“)</t>
  </si>
  <si>
    <t>ALLE</t>
  </si>
  <si>
    <t>Die Wahl ist für einige Fächer aufgrund des begrenzten schulischen Angebots eingeschränkt!</t>
  </si>
  <si>
    <t>Q1</t>
  </si>
  <si>
    <t>Q2</t>
  </si>
  <si>
    <t>Q3</t>
  </si>
  <si>
    <t>Q4</t>
  </si>
  <si>
    <t>Genau 32 Kurse eingebracht (nicht zu viele auswählen!)</t>
  </si>
  <si>
    <t xml:space="preserve">    Davon genau 8 Leistungskurse</t>
  </si>
  <si>
    <t>Mind. 40 Kurse belegt (Alle Kurse eintragen, auch die nicht angekreuzt sind!)</t>
  </si>
  <si>
    <t xml:space="preserve">    Alle 4 Sportkurse mehr als 0 Pkt</t>
  </si>
  <si>
    <t>Punkte-Regelungen</t>
  </si>
  <si>
    <t>Mindestens 300 Punkte insgesamt</t>
  </si>
  <si>
    <t xml:space="preserve">    80 Punkte in den LKs (2-fache Wertung), davon max. 2 Semester unter 5 Notenpunkten</t>
  </si>
  <si>
    <t xml:space="preserve">    120 Punkte in den GKs und 20 der 24 GKs jeweils mind. 5 Punkte (genug Kurse auswählen!)</t>
  </si>
  <si>
    <t xml:space="preserve">    Kein Kurs mit 0 Punkten eingebracht (auch kein LK) im Kursblock</t>
  </si>
  <si>
    <t xml:space="preserve">    Mind. 100 Punkte in den Prüfungen (4-fache Wertung) und in zwei Prüfungsfächern 
        (darunter mind. 1 LK) jeweils mind. 20 Notenpunkte (4-fach)</t>
  </si>
  <si>
    <t>3. und 4. Prüfungsfach durchgängig eingebracht (Außnahme Sport, s.u.)</t>
  </si>
  <si>
    <r>
      <rPr>
        <sz val="11"/>
        <color rgb="FF000000"/>
        <rFont val="Aptos Narrow"/>
        <scheme val="minor"/>
      </rPr>
      <t xml:space="preserve">    Ist Sport PF: 1 Kurs Sport Theorie und 3 Kurse Praxis einbringen* + noch möglich: 
        Noch max. ein Kurs Sport Theorie </t>
    </r>
    <r>
      <rPr>
        <u/>
        <sz val="11"/>
        <color rgb="FF000000"/>
        <rFont val="Aptos Narrow"/>
        <scheme val="minor"/>
      </rPr>
      <t>oder</t>
    </r>
    <r>
      <rPr>
        <sz val="11"/>
        <color rgb="FF000000"/>
        <rFont val="Aptos Narrow"/>
        <scheme val="minor"/>
      </rPr>
      <t xml:space="preserve"> Praxis</t>
    </r>
  </si>
  <si>
    <t>Note</t>
  </si>
  <si>
    <t>NP-Note</t>
  </si>
  <si>
    <t>Abiturprüfungen</t>
  </si>
  <si>
    <t>&amp;</t>
  </si>
  <si>
    <t>Letztes Semester des Referenzfaches der 5. PK eingebracht (Außnahme Sport, s.u.)</t>
  </si>
  <si>
    <t xml:space="preserve">    Ist Sport 5. PK: Letzter Kurs Sport Theorie einzubringen* &amp; 4 weitere Sportkurse möglich 
        (davon noch max. 1x Sport Theorie)</t>
  </si>
  <si>
    <t>Sonderkurs Skifahrt</t>
  </si>
  <si>
    <t>Abiprüfungen: Maximal zwei Nachprüfungen in den schriftlichen PFs</t>
  </si>
  <si>
    <t>Deutsch 4 Semester eingebracht</t>
  </si>
  <si>
    <t>Abiturnote</t>
  </si>
  <si>
    <t>Fremdsprache 4 Semester eingebracht</t>
  </si>
  <si>
    <t>Avg Punkte</t>
  </si>
  <si>
    <t>Punkteanzahl</t>
  </si>
  <si>
    <t>Ein künstlerisches Fach (Musik, DS, Kunst) 2 Semester eingebracht</t>
  </si>
  <si>
    <t>Kursblock</t>
  </si>
  <si>
    <t xml:space="preserve"> Leistungskurse</t>
  </si>
  <si>
    <t>Ein Fach durchgängig belegen und einbringen</t>
  </si>
  <si>
    <t>Pkt. – bessere Note</t>
  </si>
  <si>
    <t xml:space="preserve"> Grundkurse</t>
  </si>
  <si>
    <t xml:space="preserve">    Falls nur Geschichte durchgängig belegt: Semester 3-4 Politik einbringen</t>
  </si>
  <si>
    <t>Nachprüfungen?</t>
  </si>
  <si>
    <t>Prüfungsblock</t>
  </si>
  <si>
    <t xml:space="preserve">    Falls Geschichte nicht das durchgängig eingebrachte Fach ist: 2 Semester Geschichte einbringen</t>
  </si>
  <si>
    <t>Mathematik vier Semester eingebracht</t>
  </si>
  <si>
    <t>Eine Naturwissenschaft durchgängig eingebracht</t>
  </si>
  <si>
    <t xml:space="preserve">    Bei Biologie: Einbringen von zusätzlich zwei Semester Physik oder Chemie</t>
  </si>
  <si>
    <t>Maximal vier Sport-Kurse eingebracht, davon max. zwei Sport-Theorie (außer Sport ist ein PF, s. o.)</t>
  </si>
  <si>
    <t>Tabelle zu den Abitur-Noten</t>
  </si>
  <si>
    <t>Maximal 4 Semester Zusatzkurse eingebracht (Ensemblemusik bzw. Beruf-&amp;-Studium ausgenommen)</t>
  </si>
  <si>
    <t xml:space="preserve">    Maximal 2 Semester pro Zusatzkurs oder Fach (z.B. Englisch) eingebracht**</t>
  </si>
  <si>
    <t>Nur 2 Ensemblemusik-Zusatzkurse insgesamt</t>
  </si>
  <si>
    <t>Nur 2 Beruf-&amp;-Studium-Zusatzkurse insgesamt</t>
  </si>
  <si>
    <t>Kommentare</t>
  </si>
  <si>
    <t>Für die Zusatzkurse ist in der Spalte „Typ“ entweder der Typ des Faches oder das korrespondierede Fach für den Zusatzkurs angegeben.</t>
  </si>
  <si>
    <t>Anzahlen für die Fächer pro Semester rechnen den Kurs Ski nicht mit ein, da dieser blockweise stattfindet</t>
  </si>
  <si>
    <t>*Dieser Kurs für das Prüfungsfach muss mindestens seit der 10. Klasse (z. B. als WPF) besucht werden, eine Fremdsprache seit mindestens der 9. Klasse</t>
  </si>
  <si>
    <t>**Für Abi 2029 sind nicht mehr Q3-Q4, sondern Q1-Q2 Geschichte verpflichtend. Wenn evtl. zurückgetreten wird, wird empfohlen, Geschichte durchgängig zu wählen, um dann die Regeln noch einhalten zu können und das Abi zu machen.</t>
  </si>
  <si>
    <t>*Kann Sport in Q4 gesundheitsbedingt nicht belegt werden bzw. eine Abiturprüfung nicht durchgeführt werden, ist nach VO-GO § 13 (7) bzw. VO-GO § 13 (8)  zu entscheiden</t>
  </si>
  <si>
    <t>**Zusatzkurse können Fächern zugeordnet sein. So sind z. B. CCC und Debating beide Englisch zugeordnet. Damit dürfen aus diesen Fächern nur max. 2 Semester eingebracht werden.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</si>
</sst>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4"/>
      <color rgb="FFC94079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1" tint="0.499984740745262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i/>
      <sz val="11"/>
      <color theme="1" tint="0.499984740745262"/>
      <name val="Aptos Narrow"/>
      <scheme val="minor"/>
    </font>
    <font>
      <i/>
      <sz val="10"/>
      <color theme="1" tint="0.499984740745262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scheme val="minor"/>
    </font>
    <font>
      <b/>
      <sz val="14"/>
      <color theme="0"/>
      <name val="Aptos Narrow"/>
      <scheme val="minor"/>
    </font>
    <font>
      <u/>
      <sz val="11"/>
      <color theme="7" tint="-0.249977111117893"/>
      <name val="Aptos Narrow"/>
      <family val="2"/>
      <scheme val="minor"/>
    </font>
    <font>
      <i/>
      <u/>
      <sz val="11"/>
      <color theme="7" tint="-0.249977111117893"/>
      <name val="Aptos Narrow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</font>
    <font>
      <b/>
      <sz val="11"/>
      <color rgb="FFFF0000"/>
      <name val="Aptos Narrow"/>
      <family val="2"/>
      <scheme val="minor"/>
    </font>
    <font>
      <i/>
      <sz val="12"/>
      <color rgb="FFC94079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u/>
      <sz val="11"/>
      <color theme="1" tint="0.499984740745262"/>
      <name val="Aptos Narrow"/>
      <family val="2"/>
      <scheme val="minor"/>
    </font>
    <font>
      <u/>
      <sz val="11"/>
      <color rgb="FF000000"/>
      <name val="Aptos Narrow"/>
      <scheme val="minor"/>
    </font>
    <font>
      <sz val="11"/>
      <color theme="0" tint="-0.499984740745262"/>
      <name val="Aptos Narrow"/>
      <family val="2"/>
      <scheme val="minor"/>
    </font>
    <font>
      <b/>
      <sz val="11"/>
      <color rgb="FFC94079"/>
      <name val="Aptos Narrow"/>
      <scheme val="minor"/>
    </font>
    <font>
      <b/>
      <sz val="11"/>
      <color rgb="FF000000"/>
      <name val="Aptos Narrow"/>
      <scheme val="minor"/>
    </font>
    <font>
      <b/>
      <sz val="11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94079"/>
        <bgColor indexed="64"/>
      </patternFill>
    </fill>
    <fill>
      <patternFill patternType="solid">
        <fgColor rgb="FFFABBD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dashed">
        <color rgb="FF000000"/>
      </top>
      <bottom/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dash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ashed">
        <color rgb="FF000000"/>
      </left>
      <right style="thin">
        <color rgb="FF000000"/>
      </right>
      <top style="thin">
        <color rgb="FF000000"/>
      </top>
      <bottom/>
      <diagonal/>
    </border>
    <border>
      <left style="dashed">
        <color rgb="FF000000"/>
      </left>
      <right style="thin">
        <color rgb="FF000000"/>
      </right>
      <top/>
      <bottom/>
      <diagonal/>
    </border>
    <border>
      <left style="dashed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dashed">
        <color indexed="64"/>
      </right>
      <top style="thin">
        <color rgb="FF000000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 style="dashed">
        <color rgb="FF000000"/>
      </top>
      <bottom/>
      <diagonal/>
    </border>
    <border>
      <left/>
      <right style="dashed">
        <color indexed="64"/>
      </right>
      <top/>
      <bottom style="dashed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2">
    <xf numFmtId="0" fontId="0" fillId="0" borderId="0" xfId="0"/>
    <xf numFmtId="0" fontId="0" fillId="2" borderId="0" xfId="0" applyFill="1"/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/>
    <xf numFmtId="0" fontId="2" fillId="3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0" fontId="0" fillId="2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9" xfId="0" applyFill="1" applyBorder="1"/>
    <xf numFmtId="0" fontId="0" fillId="2" borderId="10" xfId="0" applyFill="1" applyBorder="1"/>
    <xf numFmtId="0" fontId="1" fillId="2" borderId="0" xfId="0" applyFont="1" applyFill="1" applyAlignment="1">
      <alignment horizontal="center"/>
    </xf>
    <xf numFmtId="0" fontId="6" fillId="2" borderId="0" xfId="0" applyFont="1" applyFill="1"/>
    <xf numFmtId="0" fontId="7" fillId="2" borderId="0" xfId="0" applyFont="1" applyFill="1"/>
    <xf numFmtId="0" fontId="2" fillId="2" borderId="0" xfId="0" applyFont="1" applyFill="1"/>
    <xf numFmtId="0" fontId="8" fillId="2" borderId="0" xfId="0" applyFont="1" applyFill="1"/>
    <xf numFmtId="0" fontId="1" fillId="4" borderId="0" xfId="0" applyFont="1" applyFill="1"/>
    <xf numFmtId="0" fontId="0" fillId="4" borderId="0" xfId="0" applyFill="1"/>
    <xf numFmtId="0" fontId="9" fillId="3" borderId="0" xfId="0" applyFont="1" applyFill="1"/>
    <xf numFmtId="0" fontId="10" fillId="3" borderId="0" xfId="0" applyFont="1" applyFill="1"/>
    <xf numFmtId="0" fontId="10" fillId="2" borderId="0" xfId="0" applyFont="1" applyFill="1"/>
    <xf numFmtId="0" fontId="11" fillId="2" borderId="0" xfId="0" applyFont="1" applyFill="1"/>
    <xf numFmtId="0" fontId="0" fillId="2" borderId="14" xfId="0" applyFill="1" applyBorder="1"/>
    <xf numFmtId="0" fontId="0" fillId="2" borderId="15" xfId="0" applyFill="1" applyBorder="1"/>
    <xf numFmtId="0" fontId="4" fillId="2" borderId="15" xfId="0" applyFont="1" applyFill="1" applyBorder="1" applyAlignment="1">
      <alignment horizontal="center"/>
    </xf>
    <xf numFmtId="0" fontId="13" fillId="2" borderId="0" xfId="0" applyFont="1" applyFill="1"/>
    <xf numFmtId="0" fontId="0" fillId="2" borderId="0" xfId="0" applyFill="1" applyAlignment="1">
      <alignment horizontal="center"/>
    </xf>
    <xf numFmtId="0" fontId="17" fillId="4" borderId="0" xfId="1" applyFont="1" applyFill="1" applyAlignment="1">
      <alignment vertical="top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6" fillId="3" borderId="0" xfId="0" applyFont="1" applyFill="1"/>
    <xf numFmtId="0" fontId="0" fillId="2" borderId="0" xfId="0" applyFill="1" applyAlignment="1">
      <alignment wrapText="1"/>
    </xf>
    <xf numFmtId="0" fontId="14" fillId="2" borderId="0" xfId="0" applyFont="1" applyFill="1" applyAlignment="1">
      <alignment wrapText="1"/>
    </xf>
    <xf numFmtId="2" fontId="0" fillId="2" borderId="0" xfId="0" applyNumberFormat="1" applyFill="1" applyAlignment="1">
      <alignment horizontal="left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5" xfId="0" applyFill="1" applyBorder="1" applyAlignment="1">
      <alignment wrapText="1"/>
    </xf>
    <xf numFmtId="0" fontId="4" fillId="2" borderId="15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6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7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8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9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2" borderId="0" xfId="0" applyFont="1" applyFill="1"/>
    <xf numFmtId="0" fontId="10" fillId="3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6" fillId="2" borderId="5" xfId="0" applyFont="1" applyFill="1" applyBorder="1"/>
    <xf numFmtId="1" fontId="1" fillId="2" borderId="0" xfId="0" applyNumberFormat="1" applyFont="1" applyFill="1" applyAlignment="1">
      <alignment horizontal="right"/>
    </xf>
    <xf numFmtId="1" fontId="0" fillId="2" borderId="11" xfId="0" applyNumberFormat="1" applyFill="1" applyBorder="1"/>
    <xf numFmtId="0" fontId="6" fillId="2" borderId="12" xfId="0" applyFont="1" applyFill="1" applyBorder="1"/>
    <xf numFmtId="1" fontId="6" fillId="2" borderId="12" xfId="0" applyNumberFormat="1" applyFont="1" applyFill="1" applyBorder="1"/>
    <xf numFmtId="0" fontId="0" fillId="2" borderId="13" xfId="0" applyFill="1" applyBorder="1"/>
    <xf numFmtId="0" fontId="20" fillId="0" borderId="0" xfId="0" applyFont="1"/>
    <xf numFmtId="0" fontId="15" fillId="2" borderId="0" xfId="0" applyFont="1" applyFill="1" applyAlignment="1">
      <alignment vertical="top"/>
    </xf>
    <xf numFmtId="0" fontId="0" fillId="2" borderId="0" xfId="0" applyFill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2" borderId="0" xfId="0" applyFont="1" applyFill="1" applyAlignment="1">
      <alignment vertical="top"/>
    </xf>
    <xf numFmtId="0" fontId="14" fillId="2" borderId="0" xfId="0" applyFont="1" applyFill="1" applyAlignment="1">
      <alignment horizontal="center" vertical="top"/>
    </xf>
    <xf numFmtId="1" fontId="22" fillId="2" borderId="2" xfId="0" applyNumberFormat="1" applyFont="1" applyFill="1" applyBorder="1" applyAlignment="1">
      <alignment horizontal="left" vertical="top" wrapText="1"/>
    </xf>
    <xf numFmtId="1" fontId="0" fillId="2" borderId="0" xfId="0" applyNumberFormat="1" applyFill="1"/>
    <xf numFmtId="0" fontId="23" fillId="3" borderId="0" xfId="0" applyFont="1" applyFill="1"/>
    <xf numFmtId="0" fontId="24" fillId="2" borderId="0" xfId="0" applyFont="1" applyFill="1"/>
    <xf numFmtId="0" fontId="11" fillId="2" borderId="0" xfId="0" applyFont="1" applyFill="1" applyAlignment="1">
      <alignment wrapText="1"/>
    </xf>
    <xf numFmtId="0" fontId="4" fillId="2" borderId="0" xfId="0" applyFont="1" applyFill="1"/>
    <xf numFmtId="0" fontId="7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25" fillId="2" borderId="0" xfId="0" applyFont="1" applyFill="1"/>
    <xf numFmtId="0" fontId="26" fillId="2" borderId="0" xfId="0" applyFont="1" applyFill="1"/>
    <xf numFmtId="0" fontId="25" fillId="2" borderId="0" xfId="0" applyFont="1" applyFill="1" applyAlignment="1">
      <alignment wrapText="1"/>
    </xf>
    <xf numFmtId="0" fontId="27" fillId="2" borderId="0" xfId="0" applyFont="1" applyFill="1"/>
    <xf numFmtId="0" fontId="12" fillId="2" borderId="0" xfId="0" applyFont="1" applyFill="1" applyAlignment="1">
      <alignment wrapText="1"/>
    </xf>
    <xf numFmtId="0" fontId="28" fillId="2" borderId="0" xfId="1" applyFont="1" applyFill="1" applyAlignment="1"/>
    <xf numFmtId="0" fontId="18" fillId="2" borderId="0" xfId="1" applyFont="1" applyFill="1" applyAlignment="1">
      <alignment horizontal="left"/>
    </xf>
    <xf numFmtId="0" fontId="25" fillId="2" borderId="0" xfId="0" applyFont="1" applyFill="1" applyAlignment="1">
      <alignment horizontal="left" vertical="top" wrapText="1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4" borderId="0" xfId="0" applyNumberFormat="1" applyFont="1" applyFill="1" applyAlignment="1">
      <alignment wrapText="1"/>
    </xf>
    <xf numFmtId="49" fontId="24" fillId="4" borderId="0" xfId="0" applyNumberFormat="1" applyFont="1" applyFill="1" applyAlignment="1">
      <alignment wrapText="1"/>
    </xf>
    <xf numFmtId="0" fontId="14" fillId="2" borderId="0" xfId="0" applyFont="1" applyFill="1" applyAlignment="1">
      <alignment vertical="top"/>
    </xf>
    <xf numFmtId="0" fontId="20" fillId="2" borderId="0" xfId="1" applyFont="1" applyFill="1" applyAlignment="1">
      <alignment horizontal="left"/>
    </xf>
    <xf numFmtId="0" fontId="0" fillId="2" borderId="0" xfId="0" applyFill="1" applyAlignment="1">
      <alignment horizontal="left" wrapText="1"/>
    </xf>
    <xf numFmtId="0" fontId="21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wrapText="1"/>
    </xf>
    <xf numFmtId="0" fontId="0" fillId="2" borderId="0" xfId="0" applyFill="1" applyAlignment="1">
      <alignment horizontal="left" wrapText="1"/>
    </xf>
    <xf numFmtId="0" fontId="21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/>
    </xf>
    <xf numFmtId="0" fontId="25" fillId="2" borderId="0" xfId="0" applyFont="1" applyFill="1" applyAlignment="1">
      <alignment horizontal="left" vertical="top"/>
    </xf>
    <xf numFmtId="164" fontId="3" fillId="2" borderId="2" xfId="0" applyNumberFormat="1" applyFont="1" applyFill="1" applyBorder="1" applyAlignment="1">
      <alignment horizontal="left" vertical="top"/>
    </xf>
    <xf numFmtId="0" fontId="0" fillId="2" borderId="0" xfId="0" applyFill="1" applyAlignment="1">
      <alignment horizontal="center" vertical="center"/>
    </xf>
    <xf numFmtId="0" fontId="24" fillId="2" borderId="0" xfId="0" applyFont="1" applyFill="1" applyAlignment="1">
      <alignment horizontal="left" wrapText="1"/>
    </xf>
    <xf numFmtId="0" fontId="11" fillId="2" borderId="0" xfId="0" applyFont="1" applyFill="1" applyAlignment="1">
      <alignment horizontal="left" wrapText="1"/>
    </xf>
  </cellXfs>
  <cellStyles count="2">
    <cellStyle name="Hyperlink" xfId="1" xr:uid="{00000000-000B-0000-0000-000008000000}"/>
    <cellStyle name="Standard" xfId="0" builtinId="0"/>
  </cellStyles>
  <dxfs count="65">
    <dxf>
      <border>
        <top style="dashed">
          <color auto="1"/>
        </top>
        <vertical/>
        <horizontal/>
      </border>
    </dxf>
    <dxf>
      <border>
        <bottom style="thin">
          <color theme="1"/>
        </bottom>
        <vertical/>
        <horizontal/>
      </border>
    </dxf>
    <dxf>
      <border>
        <right style="dashed">
          <color theme="1"/>
        </right>
        <vertical/>
        <horizontal/>
      </border>
    </dxf>
    <dxf>
      <border>
        <bottom style="thin">
          <color theme="1"/>
        </bottom>
        <vertical/>
        <horizontal/>
      </border>
    </dxf>
    <dxf>
      <border>
        <left style="thin">
          <color theme="1"/>
        </left>
        <vertical/>
        <horizontal/>
      </border>
    </dxf>
    <dxf>
      <border>
        <right style="thin">
          <color auto="1"/>
        </right>
        <vertical/>
        <horizontal/>
      </border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border>
        <right style="dashed">
          <color auto="1"/>
        </right>
        <vertical/>
        <horizontal/>
      </border>
    </dxf>
    <dxf>
      <border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auto="1"/>
        </left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1"/>
      </font>
    </dxf>
    <dxf>
      <font>
        <color theme="1"/>
      </font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theme="1"/>
      </font>
    </dxf>
    <dxf>
      <font>
        <color theme="1"/>
      </font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ill>
        <patternFill patternType="solid">
          <bgColor rgb="FFFABBD5"/>
        </patternFill>
      </fill>
    </dxf>
    <dxf>
      <font>
        <color theme="1"/>
      </font>
      <fill>
        <patternFill patternType="solid">
          <bgColor theme="2"/>
        </patternFill>
      </fill>
    </dxf>
    <dxf>
      <font>
        <color theme="5" tint="-0.499984740745262"/>
      </font>
      <fill>
        <patternFill patternType="solid">
          <bgColor theme="5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theme="5" tint="0.59999389629810485"/>
        </patternFill>
      </fill>
    </dxf>
    <dxf>
      <border>
        <right style="thin">
          <color rgb="FF000000"/>
        </right>
      </border>
    </dxf>
    <dxf>
      <fill>
        <patternFill patternType="solid">
          <bgColor rgb="FFFABBD5"/>
        </patternFill>
      </fill>
    </dxf>
    <dxf>
      <font>
        <color theme="1"/>
      </font>
      <fill>
        <patternFill>
          <bgColor rgb="FFFABBD5"/>
        </patternFill>
      </fill>
    </dxf>
    <dxf>
      <fill>
        <patternFill patternType="solid">
          <bgColor rgb="FFFABBD5"/>
        </patternFill>
      </fill>
    </dxf>
    <dxf>
      <font>
        <b/>
        <i val="0"/>
        <color theme="1"/>
      </font>
    </dxf>
    <dxf>
      <fill>
        <patternFill patternType="solid">
          <bgColor rgb="FFFABBD5"/>
        </patternFill>
      </fill>
    </dxf>
    <dxf>
      <font>
        <color rgb="FFFF0000"/>
      </font>
    </dxf>
    <dxf>
      <border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</border>
    </dxf>
    <dxf>
      <border>
        <top style="thin">
          <color rgb="FF000000"/>
        </top>
      </border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rgb="FFFABBD5"/>
        </patternFill>
      </fill>
    </dxf>
    <dxf>
      <font>
        <color theme="1"/>
      </font>
      <border>
        <bottom style="thin">
          <color rgb="FF000000"/>
        </bottom>
      </border>
    </dxf>
    <dxf>
      <fill>
        <patternFill patternType="solid">
          <bgColor rgb="FFFABBD5"/>
        </patternFill>
      </fill>
    </dxf>
    <dxf>
      <font>
        <color theme="0"/>
      </font>
      <fill>
        <patternFill patternType="solid">
          <bgColor theme="0"/>
        </patternFill>
      </fill>
    </dxf>
    <dxf>
      <fill>
        <patternFill patternType="solid">
          <bgColor rgb="FFFABBD5"/>
        </patternFill>
      </fill>
    </dxf>
    <dxf>
      <border>
        <right style="dashed">
          <color rgb="FF000000"/>
        </right>
      </border>
    </dxf>
    <dxf>
      <font>
        <color theme="1"/>
      </font>
      <border>
        <bottom style="thin">
          <color rgb="FF000000"/>
        </bottom>
      </border>
    </dxf>
    <dxf>
      <font>
        <color theme="0"/>
      </font>
      <fill>
        <patternFill patternType="solid">
          <bgColor theme="0"/>
        </patternFill>
      </fill>
    </dxf>
    <dxf>
      <border>
        <left style="thin">
          <color rgb="FF000000"/>
        </left>
      </border>
    </dxf>
    <dxf>
      <font>
        <color theme="1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top style="dashed">
          <color auto="1"/>
        </top>
        <vertical/>
        <horizontal/>
      </border>
    </dxf>
    <dxf>
      <border>
        <bottom style="thin">
          <color theme="1"/>
        </bottom>
        <vertical/>
        <horizontal/>
      </border>
    </dxf>
    <dxf>
      <fill>
        <patternFill patternType="solid">
          <bgColor theme="2"/>
        </patternFill>
      </fill>
    </dxf>
    <dxf>
      <border>
        <right style="dashed">
          <color theme="1"/>
        </right>
        <vertical/>
        <horizontal/>
      </border>
    </dxf>
    <dxf>
      <border>
        <top style="dashed">
          <color auto="1"/>
        </top>
        <vertical/>
        <horizontal/>
      </border>
    </dxf>
    <dxf>
      <border>
        <top style="dashed">
          <color auto="1"/>
        </top>
        <vertical/>
        <horizontal/>
      </border>
    </dxf>
    <dxf>
      <border>
        <top style="dashed">
          <color auto="1"/>
        </top>
        <vertical/>
        <horizontal/>
      </border>
    </dxf>
    <dxf>
      <border>
        <top style="dashed">
          <color auto="1"/>
        </top>
        <vertical/>
        <horizontal/>
      </border>
    </dxf>
    <dxf>
      <border>
        <top style="dashed">
          <color auto="1"/>
        </top>
        <vertical/>
        <horizontal/>
      </border>
    </dxf>
    <dxf>
      <border>
        <top style="dashed">
          <color auto="1"/>
        </top>
        <vertical/>
        <horizontal/>
      </border>
    </dxf>
    <dxf>
      <border>
        <top style="dashed">
          <color auto="1"/>
        </top>
        <vertical/>
        <horizontal/>
      </border>
    </dxf>
    <dxf>
      <border>
        <left style="thin">
          <color theme="1"/>
        </left>
        <vertical/>
        <horizontal/>
      </border>
    </dxf>
    <dxf>
      <border>
        <bottom style="thin">
          <color theme="1"/>
        </bottom>
        <vertical/>
        <horizontal/>
      </border>
    </dxf>
    <dxf>
      <border>
        <bottom style="thin">
          <color theme="1"/>
        </bottom>
        <vertical/>
        <horizontal/>
      </border>
    </dxf>
    <dxf>
      <border>
        <bottom style="thin">
          <color theme="1"/>
        </bottom>
        <vertical/>
        <horizontal/>
      </border>
    </dxf>
    <dxf>
      <border>
        <bottom style="thin">
          <color theme="1"/>
        </bottom>
        <vertical/>
        <horizontal/>
      </border>
    </dxf>
    <dxf>
      <border>
        <bottom style="thin">
          <color theme="1"/>
        </bottom>
        <vertical/>
        <horizontal/>
      </border>
    </dxf>
    <dxf>
      <font>
        <u/>
        <color theme="7" tint="-0.24994659260841701"/>
      </font>
    </dxf>
  </dxfs>
  <tableStyles count="0" defaultTableStyle="TableStyleMedium2" defaultPivotStyle="PivotStyleMedium9"/>
  <colors>
    <mruColors>
      <color rgb="FFC94079"/>
      <color rgb="FFFAE8F0"/>
      <color rgb="FFFF7963"/>
      <color rgb="FFFABBD5"/>
      <color rgb="FFED8E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0</xdr:row>
      <xdr:rowOff>142875</xdr:rowOff>
    </xdr:from>
    <xdr:to>
      <xdr:col>9</xdr:col>
      <xdr:colOff>142875</xdr:colOff>
      <xdr:row>7</xdr:row>
      <xdr:rowOff>133350</xdr:rowOff>
    </xdr:to>
    <xdr:pic>
      <xdr:nvPicPr>
        <xdr:cNvPr id="3" name="Bild 2">
          <a:extLst>
            <a:ext uri="{FF2B5EF4-FFF2-40B4-BE49-F238E27FC236}">
              <a16:creationId xmlns:a16="http://schemas.microsoft.com/office/drawing/2014/main" id="{A75E47CC-1CCA-7D05-7907-147A9A71299A}"/>
            </a:ext>
            <a:ext uri="{147F2762-F138-4A5C-976F-8EAC2B608ADB}">
              <a16:predDERef xmlns:a16="http://schemas.microsoft.com/office/drawing/2014/main" pred="{97AD0838-E014-4F81-990F-B16E039FB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1450" y="142875"/>
          <a:ext cx="3124200" cy="1752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10</xdr:row>
      <xdr:rowOff>152400</xdr:rowOff>
    </xdr:from>
    <xdr:to>
      <xdr:col>9</xdr:col>
      <xdr:colOff>552450</xdr:colOff>
      <xdr:row>12</xdr:row>
      <xdr:rowOff>485775</xdr:rowOff>
    </xdr:to>
    <xdr:pic>
      <xdr:nvPicPr>
        <xdr:cNvPr id="5" name="Bild 4">
          <a:extLst>
            <a:ext uri="{FF2B5EF4-FFF2-40B4-BE49-F238E27FC236}">
              <a16:creationId xmlns:a16="http://schemas.microsoft.com/office/drawing/2014/main" id="{94D2BAF0-2874-04C7-411E-CBA35CAB5967}"/>
            </a:ext>
            <a:ext uri="{147F2762-F138-4A5C-976F-8EAC2B608ADB}">
              <a16:predDERef xmlns:a16="http://schemas.microsoft.com/office/drawing/2014/main" pred="{A75E47CC-1CCA-7D05-7907-147A9A712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96175" y="2105025"/>
          <a:ext cx="3829050" cy="1219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</xdr:row>
      <xdr:rowOff>0</xdr:rowOff>
    </xdr:from>
    <xdr:to>
      <xdr:col>21</xdr:col>
      <xdr:colOff>247650</xdr:colOff>
      <xdr:row>8</xdr:row>
      <xdr:rowOff>123825</xdr:rowOff>
    </xdr:to>
    <xdr:pic>
      <xdr:nvPicPr>
        <xdr:cNvPr id="4" name="Bild 3">
          <a:extLst>
            <a:ext uri="{FF2B5EF4-FFF2-40B4-BE49-F238E27FC236}">
              <a16:creationId xmlns:a16="http://schemas.microsoft.com/office/drawing/2014/main" id="{D27A8D87-95E2-43D7-A20A-B84108E85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20575" y="190500"/>
          <a:ext cx="2686050" cy="1504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16</xdr:col>
      <xdr:colOff>200025</xdr:colOff>
      <xdr:row>8</xdr:row>
      <xdr:rowOff>123825</xdr:rowOff>
    </xdr:to>
    <xdr:pic>
      <xdr:nvPicPr>
        <xdr:cNvPr id="4" name="Bild 3">
          <a:extLst>
            <a:ext uri="{FF2B5EF4-FFF2-40B4-BE49-F238E27FC236}">
              <a16:creationId xmlns:a16="http://schemas.microsoft.com/office/drawing/2014/main" id="{76124E73-086D-4F9D-B019-061509375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53900" y="190500"/>
          <a:ext cx="2686050" cy="1504950"/>
        </a:xfrm>
        <a:prstGeom prst="rect">
          <a:avLst/>
        </a:prstGeom>
      </xdr:spPr>
    </xdr:pic>
    <xdr:clientData/>
  </xdr:twoCellAnchor>
  <xdr:twoCellAnchor editAs="oneCell">
    <xdr:from>
      <xdr:col>11</xdr:col>
      <xdr:colOff>247650</xdr:colOff>
      <xdr:row>9</xdr:row>
      <xdr:rowOff>85725</xdr:rowOff>
    </xdr:from>
    <xdr:to>
      <xdr:col>17</xdr:col>
      <xdr:colOff>371475</xdr:colOff>
      <xdr:row>15</xdr:row>
      <xdr:rowOff>161925</xdr:rowOff>
    </xdr:to>
    <xdr:pic>
      <xdr:nvPicPr>
        <xdr:cNvPr id="3" name="Bild 2">
          <a:extLst>
            <a:ext uri="{FF2B5EF4-FFF2-40B4-BE49-F238E27FC236}">
              <a16:creationId xmlns:a16="http://schemas.microsoft.com/office/drawing/2014/main" id="{7BE489DE-F3D1-4CCC-814A-9C4F5A51A803}"/>
            </a:ext>
            <a:ext uri="{147F2762-F138-4A5C-976F-8EAC2B608ADB}">
              <a16:predDERef xmlns:a16="http://schemas.microsoft.com/office/drawing/2014/main" pred="{76124E73-086D-4F9D-B019-061509375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01475" y="1847850"/>
          <a:ext cx="3829050" cy="1219200"/>
        </a:xfrm>
        <a:prstGeom prst="rect">
          <a:avLst/>
        </a:prstGeom>
      </xdr:spPr>
    </xdr:pic>
    <xdr:clientData/>
  </xdr:twoCellAnchor>
  <xdr:twoCellAnchor>
    <xdr:from>
      <xdr:col>11</xdr:col>
      <xdr:colOff>190500</xdr:colOff>
      <xdr:row>26</xdr:row>
      <xdr:rowOff>0</xdr:rowOff>
    </xdr:from>
    <xdr:to>
      <xdr:col>11</xdr:col>
      <xdr:colOff>190500</xdr:colOff>
      <xdr:row>32</xdr:row>
      <xdr:rowOff>19050</xdr:rowOff>
    </xdr:to>
    <xdr:cxnSp macro="">
      <xdr:nvCxnSpPr>
        <xdr:cNvPr id="6" name="Gerader Verbinder 5">
          <a:extLst>
            <a:ext uri="{FF2B5EF4-FFF2-40B4-BE49-F238E27FC236}">
              <a16:creationId xmlns:a16="http://schemas.microsoft.com/office/drawing/2014/main" id="{2D2501FC-73AC-4F7C-8CBD-557FAEE941F2}"/>
            </a:ext>
            <a:ext uri="{147F2762-F138-4A5C-976F-8EAC2B608ADB}">
              <a16:predDERef xmlns:a16="http://schemas.microsoft.com/office/drawing/2014/main" pred="{7BE489DE-F3D1-4CCC-814A-9C4F5A51A803}"/>
            </a:ext>
          </a:extLst>
        </xdr:cNvPr>
        <xdr:cNvCxnSpPr>
          <a:cxnSpLocks/>
        </xdr:cNvCxnSpPr>
      </xdr:nvCxnSpPr>
      <xdr:spPr>
        <a:xfrm flipH="1">
          <a:off x="11744325" y="5000625"/>
          <a:ext cx="0" cy="1162050"/>
        </a:xfrm>
        <a:prstGeom prst="line">
          <a:avLst/>
        </a:prstGeom>
        <a:ln w="38100"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195793</xdr:colOff>
      <xdr:row>36</xdr:row>
      <xdr:rowOff>28575</xdr:rowOff>
    </xdr:from>
    <xdr:to>
      <xdr:col>5</xdr:col>
      <xdr:colOff>34926</xdr:colOff>
      <xdr:row>46</xdr:row>
      <xdr:rowOff>47625</xdr:rowOff>
    </xdr:to>
    <xdr:pic>
      <xdr:nvPicPr>
        <xdr:cNvPr id="4" name="Bild 2">
          <a:extLst>
            <a:ext uri="{FF2B5EF4-FFF2-40B4-BE49-F238E27FC236}">
              <a16:creationId xmlns:a16="http://schemas.microsoft.com/office/drawing/2014/main" id="{3A7B0A41-E3E1-0230-1367-B13717BB6E92}"/>
            </a:ext>
            <a:ext uri="{147F2762-F138-4A5C-976F-8EAC2B608ADB}">
              <a16:predDERef xmlns:a16="http://schemas.microsoft.com/office/drawing/2014/main" pred="{E101D510-340C-601F-AA8D-95E19D6F7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793" y="7072842"/>
          <a:ext cx="3928533" cy="197485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21</xdr:col>
      <xdr:colOff>0</xdr:colOff>
      <xdr:row>8</xdr:row>
      <xdr:rowOff>120650</xdr:rowOff>
    </xdr:to>
    <xdr:pic>
      <xdr:nvPicPr>
        <xdr:cNvPr id="5" name="Bild 1">
          <a:extLst>
            <a:ext uri="{FF2B5EF4-FFF2-40B4-BE49-F238E27FC236}">
              <a16:creationId xmlns:a16="http://schemas.microsoft.com/office/drawing/2014/main" id="{8C663413-5D2C-4481-B4B6-6F7DB53EE596}"/>
            </a:ext>
            <a:ext uri="{147F2762-F138-4A5C-976F-8EAC2B608ADB}">
              <a16:predDERef xmlns:a16="http://schemas.microsoft.com/office/drawing/2014/main" pred="{3A7B0A41-E3E1-0230-1367-B13717BB6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1350" y="190500"/>
          <a:ext cx="2686050" cy="1504950"/>
        </a:xfrm>
        <a:prstGeom prst="rect">
          <a:avLst/>
        </a:prstGeom>
      </xdr:spPr>
    </xdr:pic>
    <xdr:clientData/>
  </xdr:twoCellAnchor>
  <xdr:twoCellAnchor>
    <xdr:from>
      <xdr:col>16</xdr:col>
      <xdr:colOff>190500</xdr:colOff>
      <xdr:row>26</xdr:row>
      <xdr:rowOff>0</xdr:rowOff>
    </xdr:from>
    <xdr:to>
      <xdr:col>16</xdr:col>
      <xdr:colOff>190500</xdr:colOff>
      <xdr:row>32</xdr:row>
      <xdr:rowOff>9525</xdr:rowOff>
    </xdr:to>
    <xdr:cxnSp macro="">
      <xdr:nvCxnSpPr>
        <xdr:cNvPr id="3" name="Gerader Verbinder 2">
          <a:extLst>
            <a:ext uri="{FF2B5EF4-FFF2-40B4-BE49-F238E27FC236}">
              <a16:creationId xmlns:a16="http://schemas.microsoft.com/office/drawing/2014/main" id="{F6BA14D6-524F-4A9C-AEDC-FD90A3E70F4E}"/>
            </a:ext>
            <a:ext uri="{147F2762-F138-4A5C-976F-8EAC2B608ADB}">
              <a16:predDERef xmlns:a16="http://schemas.microsoft.com/office/drawing/2014/main" pred="{8C663413-5D2C-4481-B4B6-6F7DB53EE596}"/>
            </a:ext>
          </a:extLst>
        </xdr:cNvPr>
        <xdr:cNvCxnSpPr>
          <a:cxnSpLocks/>
        </xdr:cNvCxnSpPr>
      </xdr:nvCxnSpPr>
      <xdr:spPr>
        <a:xfrm flipH="1">
          <a:off x="14411325" y="5000625"/>
          <a:ext cx="0" cy="1162050"/>
        </a:xfrm>
        <a:prstGeom prst="line">
          <a:avLst/>
        </a:prstGeom>
        <a:ln w="38100"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18</xdr:col>
      <xdr:colOff>247650</xdr:colOff>
      <xdr:row>7</xdr:row>
      <xdr:rowOff>123825</xdr:rowOff>
    </xdr:to>
    <xdr:pic>
      <xdr:nvPicPr>
        <xdr:cNvPr id="3" name="Bild 2">
          <a:extLst>
            <a:ext uri="{FF2B5EF4-FFF2-40B4-BE49-F238E27FC236}">
              <a16:creationId xmlns:a16="http://schemas.microsoft.com/office/drawing/2014/main" id="{9FF69490-1663-49E5-B48F-11DC1607E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15300" y="190500"/>
          <a:ext cx="2686050" cy="150495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esetze.berlin.de/perma?j=GymOstV_B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9BB13-A94E-420E-AC4A-67AFD829875B}">
  <sheetPr codeName="Tabelle1"/>
  <dimension ref="B2:J25"/>
  <sheetViews>
    <sheetView zoomScale="173" workbookViewId="0">
      <selection activeCell="D7" sqref="D7"/>
    </sheetView>
  </sheetViews>
  <sheetFormatPr defaultColWidth="9.140625" defaultRowHeight="15"/>
  <cols>
    <col min="1" max="1" width="2.85546875" style="1" customWidth="1"/>
    <col min="2" max="2" width="14.7109375" style="1" customWidth="1"/>
    <col min="3" max="3" width="97.5703125" style="1" customWidth="1"/>
    <col min="4" max="16384" width="9.140625" style="1"/>
  </cols>
  <sheetData>
    <row r="2" spans="2:10" ht="18.75" customHeight="1">
      <c r="B2" s="27" t="s">
        <v>0</v>
      </c>
      <c r="C2" s="4"/>
      <c r="D2" s="23"/>
      <c r="E2" s="23"/>
      <c r="F2" s="23"/>
      <c r="G2" s="23"/>
      <c r="H2" s="23"/>
      <c r="I2" s="23"/>
      <c r="J2" s="23"/>
    </row>
    <row r="4" spans="2:10" ht="30" customHeight="1">
      <c r="B4" s="93" t="s">
        <v>1</v>
      </c>
      <c r="C4" s="94"/>
    </row>
    <row r="5" spans="2:10" ht="30" customHeight="1">
      <c r="B5" s="93" t="s">
        <v>2</v>
      </c>
      <c r="C5" s="94"/>
    </row>
    <row r="6" spans="2:10" ht="15" customHeight="1">
      <c r="B6" s="83" t="s">
        <v>3</v>
      </c>
      <c r="C6" s="91"/>
    </row>
    <row r="7" spans="2:10" ht="15" customHeight="1">
      <c r="B7" s="83"/>
      <c r="C7" s="91"/>
    </row>
    <row r="8" spans="2:10" ht="15" customHeight="1">
      <c r="B8" s="90" t="s">
        <v>4</v>
      </c>
      <c r="C8" s="91"/>
    </row>
    <row r="9" spans="2:10" ht="15" customHeight="1">
      <c r="B9" s="91"/>
      <c r="C9" s="91"/>
    </row>
    <row r="10" spans="2:10">
      <c r="B10" s="25" t="s">
        <v>5</v>
      </c>
      <c r="C10" s="26"/>
    </row>
    <row r="11" spans="2:10" ht="60" customHeight="1">
      <c r="B11" s="36" t="s">
        <v>6</v>
      </c>
      <c r="C11" s="88" t="s">
        <v>7</v>
      </c>
      <c r="D11" s="41"/>
    </row>
    <row r="12" spans="2:10" ht="9.75" customHeight="1">
      <c r="B12" s="36"/>
      <c r="C12" s="87"/>
      <c r="D12" s="41"/>
    </row>
    <row r="13" spans="2:10" ht="75" customHeight="1">
      <c r="B13" s="36" t="s">
        <v>8</v>
      </c>
      <c r="C13" s="88" t="s">
        <v>9</v>
      </c>
    </row>
    <row r="15" spans="2:10" ht="30" customHeight="1">
      <c r="B15" s="94" t="s">
        <v>10</v>
      </c>
      <c r="C15" s="94"/>
    </row>
    <row r="17" spans="2:3" ht="30" customHeight="1">
      <c r="B17" s="93" t="s">
        <v>11</v>
      </c>
      <c r="C17" s="94"/>
    </row>
    <row r="18" spans="2:3">
      <c r="B18" s="1" t="s">
        <v>12</v>
      </c>
    </row>
    <row r="19" spans="2:3">
      <c r="B19" s="77" t="s">
        <v>13</v>
      </c>
    </row>
    <row r="20" spans="2:3">
      <c r="B20" s="21"/>
    </row>
    <row r="21" spans="2:3">
      <c r="B21" s="22" t="s">
        <v>14</v>
      </c>
    </row>
    <row r="23" spans="2:3">
      <c r="B23" s="22" t="s">
        <v>15</v>
      </c>
    </row>
    <row r="24" spans="2:3">
      <c r="B24" s="22" t="s">
        <v>16</v>
      </c>
    </row>
    <row r="25" spans="2:3">
      <c r="B25" s="24" t="s">
        <v>17</v>
      </c>
    </row>
  </sheetData>
  <sheetProtection algorithmName="SHA-512" hashValue="iQS0W1f4Kgg6guNZxelG45Y68GIu1n5VB+nREJ4PztOR5oHGB78BUD41EdJ3QDthfac+p/ACLkg/WrtEo9YB0A==" saltValue="13FVkxkPSPbcNgfGeRPpsw==" spinCount="100000" sheet="1" objects="1" scenarios="1"/>
  <mergeCells count="4">
    <mergeCell ref="B4:C4"/>
    <mergeCell ref="B5:C5"/>
    <mergeCell ref="B17:C17"/>
    <mergeCell ref="B15:C15"/>
  </mergeCells>
  <conditionalFormatting sqref="B6:B8 B11:B13">
    <cfRule type="top10" dxfId="64" priority="1" rank="10"/>
  </conditionalFormatting>
  <hyperlinks>
    <hyperlink ref="B11" location="'Kurswahl'!B2" display="Kurswahl" xr:uid="{5FAF49D0-324C-4B5B-AFDD-688E994BDB2F}"/>
    <hyperlink ref="B13" location="'Notenrechner'!B2" display="Notenrechner" xr:uid="{6BDACD36-A2C9-41CD-A8E2-AAADF6C435DE}"/>
    <hyperlink ref="B6" r:id="rId1" xr:uid="{61BC11D9-E524-AE49-A845-5D8CE36BCDD4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FC61E-BEC3-4FDB-B646-645B06E28891}">
  <sheetPr codeName="Tabelle2"/>
  <dimension ref="B2:G35"/>
  <sheetViews>
    <sheetView zoomScale="200" zoomScaleNormal="132" workbookViewId="0">
      <selection activeCell="C31" sqref="C31"/>
    </sheetView>
  </sheetViews>
  <sheetFormatPr defaultColWidth="9.140625" defaultRowHeight="15"/>
  <cols>
    <col min="1" max="1" width="2.85546875" style="1" customWidth="1"/>
    <col min="2" max="2" width="16.7109375" style="1" bestFit="1" customWidth="1"/>
    <col min="3" max="3" width="20.140625" style="1" bestFit="1" customWidth="1"/>
    <col min="4" max="4" width="9.140625" style="1" customWidth="1"/>
    <col min="5" max="6" width="9.140625" style="1"/>
    <col min="7" max="7" width="24.5703125" style="1" customWidth="1"/>
    <col min="8" max="16384" width="9.140625" style="1"/>
  </cols>
  <sheetData>
    <row r="2" spans="2:7" s="29" customFormat="1" ht="18.75" customHeight="1">
      <c r="B2" s="27" t="s">
        <v>18</v>
      </c>
      <c r="C2" s="28"/>
      <c r="D2" s="28"/>
      <c r="E2" s="28"/>
      <c r="F2" s="28"/>
      <c r="G2" s="28"/>
    </row>
    <row r="3" spans="2:7">
      <c r="C3" s="5" t="s">
        <v>19</v>
      </c>
      <c r="D3" s="16" t="s">
        <v>20</v>
      </c>
      <c r="E3" s="16" t="s">
        <v>21</v>
      </c>
      <c r="F3" s="16" t="s">
        <v>22</v>
      </c>
      <c r="G3" s="5" t="s">
        <v>23</v>
      </c>
    </row>
    <row r="4" spans="2:7">
      <c r="B4" s="6" t="s">
        <v>24</v>
      </c>
      <c r="C4" s="1" t="s">
        <v>25</v>
      </c>
      <c r="D4" s="51" t="b">
        <v>1</v>
      </c>
      <c r="E4" s="2" t="b">
        <v>1</v>
      </c>
      <c r="F4" s="2" t="b">
        <v>1</v>
      </c>
    </row>
    <row r="5" spans="2:7">
      <c r="B5" s="6"/>
      <c r="C5" s="1" t="s">
        <v>26</v>
      </c>
      <c r="D5" s="52" t="b">
        <v>1</v>
      </c>
      <c r="E5" s="2" t="b">
        <v>1</v>
      </c>
      <c r="F5" s="2" t="b">
        <v>1</v>
      </c>
      <c r="G5" s="1" t="s">
        <v>27</v>
      </c>
    </row>
    <row r="6" spans="2:7">
      <c r="B6" s="6"/>
      <c r="C6" s="12" t="s">
        <v>28</v>
      </c>
      <c r="D6" s="52" t="b">
        <v>1</v>
      </c>
      <c r="E6" s="2" t="b">
        <v>1</v>
      </c>
      <c r="F6" s="2" t="b">
        <v>1</v>
      </c>
      <c r="G6" s="1" t="s">
        <v>27</v>
      </c>
    </row>
    <row r="7" spans="2:7">
      <c r="B7" s="6"/>
      <c r="C7" s="12" t="s">
        <v>29</v>
      </c>
      <c r="D7" s="52" t="b">
        <v>0</v>
      </c>
      <c r="E7" s="2" t="b">
        <v>1</v>
      </c>
      <c r="F7" s="2" t="b">
        <v>1</v>
      </c>
      <c r="G7" s="1" t="s">
        <v>27</v>
      </c>
    </row>
    <row r="8" spans="2:7">
      <c r="C8" s="12" t="s">
        <v>30</v>
      </c>
      <c r="D8" s="52" t="b">
        <v>0</v>
      </c>
      <c r="E8" s="2" t="b">
        <v>1</v>
      </c>
      <c r="F8" s="2" t="b">
        <v>1</v>
      </c>
      <c r="G8" s="1" t="s">
        <v>27</v>
      </c>
    </row>
    <row r="9" spans="2:7">
      <c r="B9" s="6"/>
      <c r="C9" s="12" t="s">
        <v>31</v>
      </c>
      <c r="D9" s="52" t="b">
        <v>1</v>
      </c>
      <c r="E9" s="2" t="b">
        <v>1</v>
      </c>
      <c r="F9" s="2" t="b">
        <v>1</v>
      </c>
      <c r="G9" s="1" t="s">
        <v>32</v>
      </c>
    </row>
    <row r="10" spans="2:7">
      <c r="B10" s="6"/>
      <c r="C10" s="12" t="s">
        <v>33</v>
      </c>
      <c r="D10" s="52" t="b">
        <v>1</v>
      </c>
      <c r="E10" s="2" t="b">
        <v>1</v>
      </c>
      <c r="F10" s="2" t="b">
        <v>1</v>
      </c>
      <c r="G10" s="1" t="s">
        <v>32</v>
      </c>
    </row>
    <row r="11" spans="2:7">
      <c r="B11" s="6"/>
      <c r="C11" s="12" t="s">
        <v>34</v>
      </c>
      <c r="D11" s="52" t="b">
        <v>0</v>
      </c>
      <c r="E11" s="2" t="b">
        <v>1</v>
      </c>
      <c r="F11" s="2" t="b">
        <v>1</v>
      </c>
      <c r="G11" s="1" t="s">
        <v>32</v>
      </c>
    </row>
    <row r="12" spans="2:7">
      <c r="B12" s="7" t="s">
        <v>35</v>
      </c>
      <c r="C12" s="13" t="s">
        <v>36</v>
      </c>
      <c r="D12" s="53" t="b">
        <v>1</v>
      </c>
      <c r="E12" s="8" t="b">
        <v>1</v>
      </c>
      <c r="F12" s="8" t="b">
        <v>1</v>
      </c>
      <c r="G12" s="10" t="s">
        <v>37</v>
      </c>
    </row>
    <row r="13" spans="2:7">
      <c r="B13" s="6"/>
      <c r="C13" s="12" t="s">
        <v>38</v>
      </c>
      <c r="D13" s="52" t="b">
        <v>0</v>
      </c>
      <c r="E13" s="2" t="b">
        <v>1</v>
      </c>
      <c r="F13" s="2" t="b">
        <v>1</v>
      </c>
      <c r="G13" s="1" t="s">
        <v>37</v>
      </c>
    </row>
    <row r="14" spans="2:7">
      <c r="B14" s="6"/>
      <c r="C14" s="12" t="s">
        <v>39</v>
      </c>
      <c r="D14" s="52" t="b">
        <v>1</v>
      </c>
      <c r="E14" s="2" t="b">
        <v>1</v>
      </c>
      <c r="F14" s="2" t="b">
        <v>1</v>
      </c>
      <c r="G14" s="1" t="s">
        <v>37</v>
      </c>
    </row>
    <row r="15" spans="2:7">
      <c r="B15" s="6"/>
      <c r="C15" s="12" t="s">
        <v>40</v>
      </c>
      <c r="D15" s="52" t="b">
        <v>1</v>
      </c>
      <c r="E15" s="2" t="b">
        <v>1</v>
      </c>
      <c r="F15" s="2" t="b">
        <v>1</v>
      </c>
      <c r="G15" s="1" t="s">
        <v>37</v>
      </c>
    </row>
    <row r="16" spans="2:7">
      <c r="B16" s="6"/>
      <c r="C16" s="12" t="s">
        <v>41</v>
      </c>
      <c r="D16" s="52" t="b">
        <v>0</v>
      </c>
      <c r="E16" s="2" t="b">
        <v>1</v>
      </c>
      <c r="F16" s="2" t="b">
        <v>1</v>
      </c>
      <c r="G16" s="1" t="s">
        <v>37</v>
      </c>
    </row>
    <row r="17" spans="2:7">
      <c r="B17" s="6"/>
      <c r="C17" s="12" t="s">
        <v>42</v>
      </c>
      <c r="D17" s="52" t="b">
        <v>0</v>
      </c>
      <c r="E17" s="2" t="b">
        <v>1</v>
      </c>
      <c r="F17" s="2" t="b">
        <v>1</v>
      </c>
      <c r="G17" s="1" t="s">
        <v>37</v>
      </c>
    </row>
    <row r="18" spans="2:7">
      <c r="B18" s="7" t="s">
        <v>43</v>
      </c>
      <c r="C18" s="13" t="s">
        <v>44</v>
      </c>
      <c r="D18" s="53" t="b">
        <v>1</v>
      </c>
      <c r="E18" s="8" t="b">
        <v>1</v>
      </c>
      <c r="F18" s="8" t="b">
        <v>1</v>
      </c>
      <c r="G18" s="10"/>
    </row>
    <row r="19" spans="2:7">
      <c r="B19" s="6"/>
      <c r="C19" s="12" t="s">
        <v>45</v>
      </c>
      <c r="D19" s="52" t="b">
        <v>1</v>
      </c>
      <c r="E19" s="2" t="b">
        <v>1</v>
      </c>
      <c r="F19" s="2" t="b">
        <v>1</v>
      </c>
      <c r="G19" s="1" t="s">
        <v>46</v>
      </c>
    </row>
    <row r="20" spans="2:7">
      <c r="B20" s="6"/>
      <c r="C20" s="12" t="s">
        <v>47</v>
      </c>
      <c r="D20" s="52" t="b">
        <v>1</v>
      </c>
      <c r="E20" s="2" t="b">
        <v>1</v>
      </c>
      <c r="F20" s="2" t="b">
        <v>1</v>
      </c>
      <c r="G20" s="1" t="s">
        <v>46</v>
      </c>
    </row>
    <row r="21" spans="2:7">
      <c r="B21" s="6"/>
      <c r="C21" s="12" t="s">
        <v>48</v>
      </c>
      <c r="D21" s="52" t="b">
        <v>1</v>
      </c>
      <c r="E21" s="2" t="b">
        <v>1</v>
      </c>
      <c r="F21" s="2" t="b">
        <v>1</v>
      </c>
      <c r="G21" s="1" t="s">
        <v>46</v>
      </c>
    </row>
    <row r="22" spans="2:7">
      <c r="B22" s="6"/>
      <c r="C22" s="12" t="s">
        <v>49</v>
      </c>
      <c r="D22" s="52" t="b">
        <v>0</v>
      </c>
      <c r="E22" s="2" t="b">
        <v>1</v>
      </c>
      <c r="F22" s="2" t="b">
        <v>1</v>
      </c>
    </row>
    <row r="23" spans="2:7">
      <c r="B23" s="6" t="s">
        <v>50</v>
      </c>
      <c r="C23" s="13" t="s">
        <v>50</v>
      </c>
      <c r="D23" s="53" t="b">
        <v>0</v>
      </c>
      <c r="E23" s="8" t="b">
        <v>1</v>
      </c>
      <c r="F23" s="8" t="b">
        <v>1</v>
      </c>
      <c r="G23" s="10"/>
    </row>
    <row r="24" spans="2:7">
      <c r="B24" s="6"/>
      <c r="C24" s="31" t="s">
        <v>51</v>
      </c>
      <c r="D24" s="52" t="b">
        <v>0</v>
      </c>
      <c r="E24" s="2" t="b">
        <v>0</v>
      </c>
      <c r="F24" s="2" t="b">
        <v>1</v>
      </c>
    </row>
    <row r="25" spans="2:7">
      <c r="B25" s="6"/>
      <c r="C25" s="15" t="s">
        <v>52</v>
      </c>
      <c r="D25" s="54" t="b">
        <v>0</v>
      </c>
      <c r="E25" s="9" t="b">
        <v>1</v>
      </c>
      <c r="F25" s="9" t="b">
        <v>0</v>
      </c>
      <c r="G25" s="11"/>
    </row>
    <row r="26" spans="2:7">
      <c r="B26" s="7" t="s">
        <v>53</v>
      </c>
      <c r="C26" s="12" t="s">
        <v>54</v>
      </c>
      <c r="D26" s="52" t="b">
        <v>0</v>
      </c>
      <c r="E26" s="2" t="b">
        <v>1</v>
      </c>
      <c r="F26" s="2" t="b">
        <v>1</v>
      </c>
      <c r="G26" s="1" t="s">
        <v>55</v>
      </c>
    </row>
    <row r="27" spans="2:7">
      <c r="B27" s="6"/>
      <c r="C27" s="12" t="s">
        <v>56</v>
      </c>
      <c r="D27" s="52" t="b">
        <v>0</v>
      </c>
      <c r="E27" s="2" t="b">
        <v>1</v>
      </c>
      <c r="F27" s="2" t="b">
        <v>1</v>
      </c>
      <c r="G27" s="1" t="s">
        <v>55</v>
      </c>
    </row>
    <row r="28" spans="2:7">
      <c r="B28" s="6"/>
      <c r="C28" s="12" t="s">
        <v>57</v>
      </c>
      <c r="D28" s="52" t="b">
        <v>0</v>
      </c>
      <c r="E28" s="2" t="b">
        <v>1</v>
      </c>
      <c r="F28" s="2" t="b">
        <v>0</v>
      </c>
      <c r="G28" s="1" t="s">
        <v>49</v>
      </c>
    </row>
    <row r="29" spans="2:7">
      <c r="B29" s="6"/>
      <c r="C29" s="12" t="s">
        <v>58</v>
      </c>
      <c r="D29" s="52" t="b">
        <v>0</v>
      </c>
      <c r="E29" s="2" t="b">
        <v>1</v>
      </c>
      <c r="F29" s="2" t="b">
        <v>0</v>
      </c>
      <c r="G29" s="1" t="s">
        <v>42</v>
      </c>
    </row>
    <row r="30" spans="2:7">
      <c r="C30" s="12" t="s">
        <v>59</v>
      </c>
      <c r="D30" s="52" t="b">
        <v>0</v>
      </c>
      <c r="E30" s="2" t="b">
        <v>1</v>
      </c>
      <c r="F30" s="2" t="b">
        <v>0</v>
      </c>
      <c r="G30" s="1" t="s">
        <v>60</v>
      </c>
    </row>
    <row r="31" spans="2:7">
      <c r="C31" s="31" t="s">
        <v>61</v>
      </c>
      <c r="D31" s="52" t="b">
        <v>0</v>
      </c>
      <c r="E31" s="2" t="b">
        <v>1</v>
      </c>
      <c r="F31" s="2" t="b">
        <v>0</v>
      </c>
      <c r="G31" s="1" t="s">
        <v>48</v>
      </c>
    </row>
    <row r="32" spans="2:7">
      <c r="C32" s="31" t="s">
        <v>62</v>
      </c>
      <c r="D32" s="52" t="b">
        <v>0</v>
      </c>
      <c r="E32" s="2" t="b">
        <v>1</v>
      </c>
      <c r="F32" s="2" t="b">
        <v>1</v>
      </c>
      <c r="G32" s="1" t="s">
        <v>26</v>
      </c>
    </row>
    <row r="33" spans="2:7">
      <c r="C33" s="31" t="s">
        <v>63</v>
      </c>
      <c r="D33" s="52" t="b">
        <v>0</v>
      </c>
      <c r="E33" s="2" t="b">
        <v>1</v>
      </c>
      <c r="F33" s="2" t="b">
        <v>1</v>
      </c>
      <c r="G33" s="1" t="s">
        <v>26</v>
      </c>
    </row>
    <row r="35" spans="2:7">
      <c r="B35" s="82" t="s">
        <v>64</v>
      </c>
    </row>
  </sheetData>
  <sheetProtection algorithmName="SHA-512" hashValue="jNOTLGXSgKkSHwfZPIHra1ivs/GBiw5d6E/jf2SB2ySAFOYKkDCimLnvltHg45lH45zTcZLAStBzUanxhChvnA==" saltValue="CKcVxUUMFTT4z2fAtE1jZw==" spinCount="100000" sheet="1" objects="1" scenarios="1"/>
  <hyperlinks>
    <hyperlink ref="B35" location="'Kommentare'!B2" display="Kommentare  ⇒" xr:uid="{6A556D93-2601-4F91-8D60-BDBA402B252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560D5-FEB3-40C4-AC0D-206531EA99B2}">
  <sheetPr codeName="Tabelle3"/>
  <dimension ref="B2:W90"/>
  <sheetViews>
    <sheetView tabSelected="1" topLeftCell="C22" zoomScale="159" zoomScaleNormal="176" workbookViewId="0">
      <selection activeCell="F35" sqref="F35"/>
    </sheetView>
  </sheetViews>
  <sheetFormatPr defaultColWidth="9.140625" defaultRowHeight="15"/>
  <cols>
    <col min="1" max="1" width="2.85546875" style="1" customWidth="1"/>
    <col min="2" max="2" width="16.7109375" style="34" bestFit="1" customWidth="1"/>
    <col min="3" max="3" width="20.140625" style="1" bestFit="1" customWidth="1"/>
    <col min="4" max="4" width="5.5703125" style="1" bestFit="1" customWidth="1"/>
    <col min="5" max="6" width="9.140625" style="1" customWidth="1"/>
    <col min="7" max="7" width="4.28515625" style="1" customWidth="1"/>
    <col min="8" max="9" width="9.140625" style="1" customWidth="1"/>
    <col min="10" max="10" width="72.5703125" style="1" customWidth="1"/>
    <col min="11" max="11" width="14.42578125" style="35" customWidth="1"/>
    <col min="12" max="12" width="9.140625" style="1" bestFit="1" customWidth="1"/>
    <col min="13" max="13" width="9.85546875" style="1" customWidth="1"/>
    <col min="14" max="14" width="9.140625" style="1" customWidth="1"/>
    <col min="15" max="16384" width="9.140625" style="1"/>
  </cols>
  <sheetData>
    <row r="2" spans="2:13" s="29" customFormat="1" ht="18.75" customHeight="1">
      <c r="B2" s="40" t="s">
        <v>6</v>
      </c>
      <c r="C2" s="28"/>
      <c r="D2" s="28"/>
      <c r="E2" s="28"/>
      <c r="F2" s="28"/>
      <c r="G2" s="28"/>
      <c r="J2" s="27" t="s">
        <v>65</v>
      </c>
      <c r="K2" s="56"/>
    </row>
    <row r="3" spans="2:13">
      <c r="C3" s="7" t="s">
        <v>19</v>
      </c>
      <c r="D3" s="7" t="s">
        <v>66</v>
      </c>
      <c r="E3" s="20" t="s">
        <v>21</v>
      </c>
      <c r="F3" s="20" t="s">
        <v>22</v>
      </c>
      <c r="G3" s="7" t="s">
        <v>67</v>
      </c>
    </row>
    <row r="4" spans="2:13" ht="15" customHeight="1">
      <c r="B4" s="34" t="str" cm="1">
        <f t="array" ref="B4:C33">_xlfn.LET(_xlpm.bereich,'Angebotene Kurse'!$B$4:$C$33, IF(_xlpm.bereich="","",_xlpm.bereich))</f>
        <v>1. Aufgabenfeld</v>
      </c>
      <c r="C4" s="1" t="str">
        <v>Deutsch</v>
      </c>
      <c r="E4" s="2" t="b">
        <v>1</v>
      </c>
      <c r="F4" s="2" t="b">
        <v>1</v>
      </c>
      <c r="G4" s="1">
        <f>IF((F4+E4)*2&gt;0,(F4+E4)*2,"")</f>
        <v>4</v>
      </c>
      <c r="J4" s="1" t="s">
        <v>68</v>
      </c>
      <c r="K4" s="46" t="str" cm="1">
        <f t="array" ref="K4">_xlfn.LET(
  _xlpm.kopf,$B$3:$G$3,
  _xlpm.daten,$B$4:$G$40,
  _xlpm.spPF,   INDEX(_xlpm.daten,0,MATCH("PF",_xlpm.kopf,0)),
  _xlpm.semester12_kopf,  INDEX(_xlpm.daten,0,MATCH("Q1/2",_xlpm.kopf,0)),
  _xlpm.semester34_kopf,  INDEX(_xlpm.daten,0,MATCH("Q3/4",_xlpm.kopf,0)),
  _xlpm.spKurs, INDEX(_xlpm.daten,0,MATCH("Kurs",_xlpm.kopf,0)),
  _xlpm.semester12, --(_xlpm.semester12_kopf=TRUE),
  _xlpm.semester34, --(_xlpm.semester34_kopf=TRUE),
  _xlpm.istLK, --(_xlpm.spPF="LF"),
  _xlpm.istGK, --(_xlpm.spPF&lt;&gt;"LF") * --(_xlpm.spKurs&lt;&gt;""),
  _xlpm.sk,   --(_xlpm.spKurs="Skifahrt"),
  _xlpm.LF_durch, SUMPRODUCT(_xlpm.istLK * _xlpm.semester12 * _xlpm.semester34),
  _xlpm.LF_ok,    _xlpm.LF_durch=2,
  _xlpm.sem_pro_zeile, _xlpm.sk*(_xlpm.semester12+_xlpm.semester34) + (1-_xlpm.sk)*2*(_xlpm.semester12+_xlpm.semester34),
  _xlpm.GK_sem, SUMPRODUCT(_xlpm.istGK * _xlpm.sem_pro_zeile),
  _xlfn.CONCAT(AND(_xlpm.LF_ok, _xlpm.GK_sem&gt;=32)," (", _xlpm.GK_sem, ")")
)</f>
        <v>FALSCH (13)</v>
      </c>
    </row>
    <row r="5" spans="2:13">
      <c r="B5" s="34" t="str">
        <v/>
      </c>
      <c r="C5" s="1" t="str">
        <v>Englisch</v>
      </c>
      <c r="E5" s="2" t="b">
        <v>0</v>
      </c>
      <c r="F5" s="2" t="b">
        <v>0</v>
      </c>
      <c r="G5" s="1" t="str">
        <f t="shared" ref="G5:G32" si="0">IF((F5+E5)*2&gt;0,(F5+E5)*2,"")</f>
        <v/>
      </c>
      <c r="J5" s="1" t="s">
        <v>69</v>
      </c>
      <c r="K5" s="35" t="b" cm="1">
        <f t="array" ref="K5">_xlfn.LET(_xlpm.semester12,INDEX(B3:G40,MATCH("ALLE",B3:B40,1),4),_xlpm.semester34,INDEX(B3:G40,MATCH("ALLE",B3:B40,1),5),IF(OR(_xlpm.semester12&gt;12, _xlpm.semester34&lt;8, _xlpm.semester12&gt;12, _xlpm.semester34&lt;8), FALSE, TRUE))</f>
        <v>0</v>
      </c>
    </row>
    <row r="6" spans="2:13">
      <c r="B6" s="34" t="str">
        <v/>
      </c>
      <c r="C6" s="1" t="str">
        <v>Französisch</v>
      </c>
      <c r="E6" s="2" t="b">
        <v>0</v>
      </c>
      <c r="F6" s="2" t="b">
        <v>0</v>
      </c>
      <c r="G6" s="1" t="str">
        <f t="shared" si="0"/>
        <v/>
      </c>
      <c r="J6" s="7" t="s">
        <v>70</v>
      </c>
    </row>
    <row r="7" spans="2:13">
      <c r="B7" s="34" t="str">
        <v/>
      </c>
      <c r="C7" s="1" t="str">
        <v>Spanisch</v>
      </c>
      <c r="E7" s="2" t="b">
        <v>0</v>
      </c>
      <c r="F7" s="2" t="b">
        <v>0</v>
      </c>
      <c r="G7" s="1" t="str">
        <f t="shared" si="0"/>
        <v/>
      </c>
      <c r="J7" s="1" t="s">
        <v>71</v>
      </c>
      <c r="K7" s="46" t="b" cm="1">
        <f t="array" ref="K7">_xlfn.LET(
  _xlpm.PFSp, INDEX($B$4:$G$40,0,MATCH("PF",$B$3:$G$3,0)),
  _xlpm.NormPF_raw, CLEAN(TRIM(_xlpm.PFSp)),
  _xlpm.NormPF, SUBSTITUTE(_xlpm.NormPF_raw,CHAR(160),""),
  _xlpm.cnteins,  SUMPRODUCT(--(LEFT(_xlpm.NormPF,2)="LF")),
  _xlpm.cntzwei,  SUMPRODUCT(--(LEFT(_xlpm.NormPF,5)="3. PF")),
  _xlpm.cntdrei,  SUMPRODUCT(--(LEFT(_xlpm.NormPF,5)="4. PF")),
  _xlpm.cntvier,  SUMPRODUCT(--(LEFT(_xlpm.NormPF,5)="5. PK")),
  AND(_xlpm.cnteins=2, _xlpm.cntzwei=1, _xlpm.cntdrei=1, _xlpm.cntvier=1)
)</f>
        <v>0</v>
      </c>
    </row>
    <row r="8" spans="2:13">
      <c r="B8" s="34" t="str">
        <v/>
      </c>
      <c r="C8" s="1" t="str">
        <v>Latein</v>
      </c>
      <c r="E8" s="2" t="b">
        <v>0</v>
      </c>
      <c r="F8" s="2" t="b">
        <v>0</v>
      </c>
      <c r="G8" s="1" t="str">
        <f t="shared" si="0"/>
        <v/>
      </c>
      <c r="J8" s="1" t="s">
        <v>72</v>
      </c>
      <c r="K8" s="35" t="b" cm="1">
        <f t="array" ref="K8">_xlfn.LET(
  _xlpm.kopfzeilen,$B$3:$G$3, _xlpm.datenbereich,$B$4:$G$40,
  _xlpm.spalte_kurs,INDEX(_xlpm.datenbereich,0,MATCH("Kurs",_xlpm.kopfzeilen,0)),
  _xlpm.spalte_pf,INDEX(_xlpm.datenbereich,0,MATCH("PF",_xlpm.kopfzeilen,0)),
  _xlpm.angebot_kopf,'Angebotene Kurse'!$B$3:$G$3, _xlpm.angebot_daten,'Angebotene Kurse'!$B$4:$G$1002,
  _xlpm.fremdsprache_liste,_xlfn._xlws.FILTER(INDEX(_xlpm.angebot_daten,0,MATCH("Kurs",_xlpm.angebot_kopf,0)), INDEX(_xlpm.angebot_daten,0,MATCH("Typ",_xlpm.angebot_kopf,0))="Fremdsprache"),
  _xlpm.naturwissenschaft_liste,_xlfn._xlws.FILTER(INDEX(_xlpm.angebot_daten,0,MATCH("Kurs",_xlpm.angebot_kopf,0)), INDEX(_xlpm.angebot_daten,0,MATCH("Typ",_xlpm.angebot_kopf,0))="Naturwissenschaft"),
  _xlpm.ist_erlaubtes_fach,(_xlpm.spalte_kurs="Deutsch")+(_xlpm.spalte_kurs="Mathematik")+ISNUMBER(MATCH(_xlpm.spalte_kurs,_xlpm.fremdsprache_liste,0))+ISNUMBER(MATCH(_xlpm.spalte_kurs,_xlpm.naturwissenschaft_liste,0))&gt;0,
  SUMPRODUCT((_xlpm.spalte_pf="LF")*_xlpm.ist_erlaubtes_fach)&gt;=1
)</f>
        <v>0</v>
      </c>
    </row>
    <row r="9" spans="2:13">
      <c r="B9" s="34" t="str">
        <v/>
      </c>
      <c r="C9" s="1" t="str">
        <v>Musik</v>
      </c>
      <c r="E9" s="2" t="b">
        <v>0</v>
      </c>
      <c r="F9" s="2" t="b">
        <v>0</v>
      </c>
      <c r="G9" s="1" t="str">
        <f t="shared" si="0"/>
        <v/>
      </c>
      <c r="J9" s="1" t="s">
        <v>73</v>
      </c>
      <c r="K9" s="35" t="b" cm="1">
        <f t="array" ref="K9">_xlfn.LET(
  _xlpm.KursSp,   INDEX($B$4:$G$40,0,MATCH("Kurs",$B$3:$G$3,0)),
  _xlpm.PFSp,     INDEX($B$4:$G$40,0,MATCH("PF",$B$3:$G$3,0)),
  _xlpm.Kurs_FS,  _xlfn._xlws.FILTER(
              INDEX('Angebotene Kurse'!$B$4:$G$29,0,MATCH("Kurs",'Angebotene Kurse'!$B$3:$G$3,0)),
              INDEX('Angebotene Kurse'!$B$4:$G$29,0,MATCH("Typ",'Angebotene Kurse'!$B$3:$G$3,0))="Fremdsprache"
            ),
  _xlpm.istPF,    (_xlpm.PFSp="LF")+(_xlpm.PFSp="3. PF")+(_xlpm.PFSp="4. PF")&gt;0,
  _xlpm.istZiel,  (_xlpm.KursSp="Mathematik")+(_xlpm.KursSp="Deutsch")+ISNUMBER(MATCH(_xlpm.KursSp,_xlpm.Kurs_FS,0))&gt;0,
  SUMPRODUCT(_xlpm.istPF*_xlpm.istZiel)&gt;=2
)</f>
        <v>0</v>
      </c>
    </row>
    <row r="10" spans="2:13">
      <c r="B10" s="34" t="str">
        <v/>
      </c>
      <c r="C10" s="1" t="str">
        <v>Kunst</v>
      </c>
      <c r="E10" s="2" t="b">
        <v>0</v>
      </c>
      <c r="F10" s="2" t="b">
        <v>0</v>
      </c>
      <c r="G10" s="1" t="str">
        <f>IF((F10+E10)*2&gt;0,(F10+E10)*2,"")</f>
        <v/>
      </c>
      <c r="J10" s="1" t="s">
        <v>74</v>
      </c>
      <c r="K10" s="35" t="b" cm="1">
        <f t="array" ref="K10">_xlfn.LET(
  _xlpm.kopfzeilen,$B$3:$G$3, _xlpm.datenbereich,$B$4:$G$40,
  _xlpm.spalte_kurs,INDEX(_xlpm.datenbereich,0,MATCH("Kurs",_xlpm.kopfzeilen,0)),
  _xlpm.spalte_pf,INDEX(_xlpm.datenbereich,0,MATCH("PF",_xlpm.kopfzeilen,0)),
  _xlpm.ist_kunstmusikdsport,(_xlpm.spalte_kurs="Musik")+(_xlpm.spalte_kurs="Kunst")+(_xlpm.spalte_kurs="DS")+(_xlpm.spalte_kurs="Sport")&gt;0,
  _xlpm.anzahl_in_3_oder_4,SUMPRODUCT(((_xlpm.spalte_pf="3. PF")+(_xlpm.spalte_pf="4. PF")&gt;0)*_xlpm.ist_kunstmusikdsport),
  _xlpm.anzahl_in_3_oder_4&lt;=1
)</f>
        <v>1</v>
      </c>
    </row>
    <row r="11" spans="2:13">
      <c r="B11" s="34" t="str">
        <v/>
      </c>
      <c r="C11" s="1" t="str">
        <v>DS</v>
      </c>
      <c r="E11" s="2" t="b">
        <v>0</v>
      </c>
      <c r="F11" s="2" t="b">
        <v>0</v>
      </c>
      <c r="G11" s="1" t="str">
        <f t="shared" si="0"/>
        <v/>
      </c>
      <c r="J11" s="1" t="s">
        <v>75</v>
      </c>
      <c r="K11" s="46" t="b" cm="1">
        <f t="array" ref="K11">_xlfn.LET(
  _xlpm.kopfzeilen,$B$3:$G$3,
  _xlpm.datenbereich,$B$4:$G$34,
  _xlpm.KursSp,INDEX(_xlpm.datenbereich,0,MATCH("Kurs",_xlpm.kopfzeilen,0)),
  _xlpm.PFSp,INDEX(_xlpm.datenbereich,0,MATCH("PF",_xlpm.kopfzeilen,0)),
  _xlpm.istSportOderDS,((_xlpm.KursSp="Sport")+(_xlpm.KursSp="DS"))&gt;0,
  _xlpm.anzahlVerboten,SUMPRODUCT(--_xlpm.istSportOderDS*--(_xlpm.PFSp="3. PF")),
  _xlpm.anzahlVerboten=0
)</f>
        <v>1</v>
      </c>
      <c r="M11" s="7"/>
    </row>
    <row r="12" spans="2:13">
      <c r="B12" s="34" t="str">
        <v>2. Aufgabenfeld</v>
      </c>
      <c r="C12" s="1" t="str">
        <v>Geschichte</v>
      </c>
      <c r="E12" s="2" t="b">
        <v>0</v>
      </c>
      <c r="F12" s="2" t="b">
        <v>0</v>
      </c>
      <c r="G12" s="1" t="str">
        <f t="shared" si="0"/>
        <v/>
      </c>
      <c r="J12" s="1" t="s">
        <v>76</v>
      </c>
      <c r="K12" s="46" t="b" cm="1">
        <f t="array" ref="K12">_xlfn.LET(
  _xlpm.PFSp,      INDEX($B$4:$G$40,0,MATCH("PF",$B$3:$G$3,0)),
  _xlpm.Z,         ROW($B$4:$B$40),
  _xlpm.aufgabenfeld1, _xlfn.AGGREGATE(15,6,_xlpm.Z/($B$4:$B$40="1. Aufgabenfeld"),1),
  _xlpm.aufgabenfeld2, _xlfn.AGGREGATE(15,6,_xlpm.Z/($B$4:$B$40="2. Aufgabenfeld"),1),
  _xlpm.aufgabenfeld3, _xlfn.AGGREGATE(15,6,_xlpm.Z/($B$4:$B$40="3. Aufgabenfeld"),1),
  _xlpm.istRelev,  (_xlpm.PFSp="LF")+(_xlpm.PFSp="3. PF")+(_xlpm.PFSp="4. PF")+(_xlpm.PFSp="5. PK")&gt;0,
  _xlpm.inFeld1,   (_xlpm.Z&gt;=_xlpm.aufgabenfeld1)*(_xlpm.Z&lt;_xlpm.aufgabenfeld2),
  _xlpm.inFeld2,   (_xlpm.Z&gt;=_xlpm.aufgabenfeld2)*(_xlpm.Z&lt;_xlpm.aufgabenfeld3),
  _xlpm.inFeld3,   (_xlpm.Z&gt;=_xlpm.aufgabenfeld3),
  _xlpm.hateins,   SUMPRODUCT(_xlpm.istRelev*_xlpm.inFeld1)&gt;0,
  _xlpm.hatzwei,   SUMPRODUCT(_xlpm.istRelev*_xlpm.inFeld2)&gt;0,
  _xlpm.hatdrei,   SUMPRODUCT(_xlpm.istRelev*_xlpm.inFeld3)&gt;0,
  AND(_xlpm.hateins,_xlpm.hatzwei,_xlpm.hatdrei)
)</f>
        <v>0</v>
      </c>
    </row>
    <row r="13" spans="2:13">
      <c r="B13" s="34" t="str">
        <v/>
      </c>
      <c r="C13" s="1" t="str">
        <v>Geschichte bili</v>
      </c>
      <c r="E13" s="2" t="b">
        <v>0</v>
      </c>
      <c r="F13" s="2" t="b">
        <v>0</v>
      </c>
      <c r="G13" s="1" t="str">
        <f t="shared" si="0"/>
        <v/>
      </c>
      <c r="J13" s="1" t="s">
        <v>77</v>
      </c>
      <c r="K13" s="35" t="b" cm="1">
        <f t="array" ref="K13">_xlfn.LET(
  _xlpm.kopfzeilen,$B$3:$G$3, _xlpm.datenbereich,$B$4:$G$40,
  _xlpm.spalte_kurs,INDEX(_xlpm.datenbereich,0,MATCH("Kurs",_xlpm.kopfzeilen,0)),
  _xlpm.spalte_pf,INDEX(_xlpm.datenbereich,0,MATCH("PF",_xlpm.kopfzeilen,0)),
  _xlpm.spalte_q12,INDEX(_xlpm.datenbereich,0,MATCH("Q1/2",_xlpm.kopfzeilen,0)),
  _xlpm.spalte_q34,INDEX(_xlpm.datenbereich,0,MATCH("Q3/4",_xlpm.kopfzeilen,0)),
  _xlpm.sport_ist_pf_oder_pk5,SUMPRODUCT((((_xlpm.spalte_pf="LF")+(_xlpm.spalte_pf="3. PF")+(_xlpm.spalte_pf="4. PF")+(_xlpm.spalte_pf="5. PK"))&gt;0)*(((_xlpm.spalte_kurs="Sport")+(_xlpm.spalte_kurs="Sport Theorie"))&gt;0))&gt;0,
  _xlpm.sport_theorie_hat_mind2,SUMPRODUCT((_xlpm.spalte_kurs="Sport Theorie")*(((_xlpm.spalte_q12=TRUE)+(_xlpm.spalte_q34=TRUE))&gt;=1))&gt;0,
  IF(_xlpm.sport_ist_pf_oder_pk5, _xlpm.sport_theorie_hat_mind2, TRUE)
)</f>
        <v>1</v>
      </c>
    </row>
    <row r="14" spans="2:13">
      <c r="B14" s="34" t="str">
        <v/>
      </c>
      <c r="C14" s="1" t="str">
        <v>Politikwissenschaften</v>
      </c>
      <c r="E14" s="2" t="b">
        <v>0</v>
      </c>
      <c r="F14" s="2" t="b">
        <v>0</v>
      </c>
      <c r="G14" s="1" t="str">
        <f t="shared" si="0"/>
        <v/>
      </c>
      <c r="J14" s="55" t="s">
        <v>78</v>
      </c>
      <c r="K14" s="35" t="b" cm="1">
        <f t="array" ref="K14">_xlfn.LET(
  _xlpm.kopfzeilen,$B$3:$G$3, _xlpm.datenbereich,$B$4:$G$40,
  _xlpm.spalte_kurs,INDEX(_xlpm.datenbereich,0,MATCH("Kurs",_xlpm.kopfzeilen,0)),
  _xlpm.spalte_pf,INDEX(_xlpm.datenbereich,0,MATCH("PF",_xlpm.kopfzeilen,0)),
  _xlpm.zeilenindex,ROW($B$4:$B$40),
  _xlpm.start_zusatz,_xlfn.AGGREGATE(15,6,_xlpm.zeilenindex/($B$4:$B$40="Zusatzkurse"),1),
  _xlpm.in_zusatzbereich,(_xlpm.zeilenindex&gt;=_xlpm.start_zusatz),
  _xlpm.ist_pf_markiert,(_xlpm.spalte_pf="LF")+(_xlpm.spalte_pf="3. PF")+(_xlpm.spalte_pf="4. PF")+(_xlpm.spalte_pf="5. PK")&gt;0,
  _xlpm.ist_ski_oder_theorie,(_xlpm.spalte_kurs="Skifahrt")+(_xlpm.spalte_kurs="Sport Theorie")&gt;0,
  SUMPRODUCT((_xlpm.in_zusatzbereich+_xlpm.ist_ski_oder_theorie&gt;0)*_xlpm.ist_pf_markiert)=0
)</f>
        <v>1</v>
      </c>
    </row>
    <row r="15" spans="2:13">
      <c r="B15" s="34" t="str">
        <v/>
      </c>
      <c r="C15" s="1" t="str">
        <v>Geografie</v>
      </c>
      <c r="E15" s="2" t="b">
        <v>0</v>
      </c>
      <c r="F15" s="2" t="b">
        <v>0</v>
      </c>
      <c r="G15" s="1" t="str">
        <f t="shared" si="0"/>
        <v/>
      </c>
      <c r="J15" s="1" t="s">
        <v>79</v>
      </c>
      <c r="K15" s="46" t="b" cm="1">
        <f t="array" ref="K15">_xlfn.LET(
  _xlpm.KursSp,   INDEX($B$4:$G$34,0,MATCH("Kurs",$B$3:$G$3,0)),
  _xlpm.PFSp,     INDEX($B$4:$G$34,0,MATCH("PF",$B$3:$G$3,0)),
  _xlpm.Halbjahr1,INDEX($B$4:$G$34,0,MATCH("Q1/2",$B$3:$G$3,0)),
  _xlpm.Halbjahr2,INDEX($B$4:$G$34,0,MATCH("Q3/4",$B$3:$G$3,0)),
  _xlpm.chk, SUMPRODUCT((_xlpm.PFSp="3. PF")*(_xlpm.Halbjahr1=TRUE)*(_xlpm.Halbjahr2=TRUE))&gt;0,
  _xlpm.chkk, SUMPRODUCT((_xlpm.PFSp="4. PF")*(_xlpm.Halbjahr1=TRUE)*(_xlpm.Halbjahr2=TRUE))&gt;0,
  AND(_xlpm.chk,_xlpm.chkk)
)</f>
        <v>0</v>
      </c>
    </row>
    <row r="16" spans="2:13">
      <c r="B16" s="34" t="str">
        <v/>
      </c>
      <c r="C16" s="1" t="str">
        <v>Geografie bili</v>
      </c>
      <c r="E16" s="2" t="b">
        <v>0</v>
      </c>
      <c r="F16" s="2" t="b">
        <v>0</v>
      </c>
      <c r="G16" s="1" t="str">
        <f t="shared" si="0"/>
        <v/>
      </c>
      <c r="J16" s="1" t="s">
        <v>80</v>
      </c>
      <c r="K16" s="35" t="b" cm="1">
        <f t="array" ref="K16">_xlfn.LET(
  _xlpm.PFSp,     INDEX($B$4:$G$40,0,MATCH("PF",$B$3:$G$3,0)),
  _xlpm.Halbjahr1,INDEX($B$4:$G$40,0,MATCH("Q1/2",$B$3:$G$3,0)),
  _xlpm.Halbjahr2,INDEX($B$4:$G$40,0,MATCH("Q3/4",$B$3:$G$3,0)),
  SUMPRODUCT((_xlpm.PFSp="5. PK")*(_xlpm.Halbjahr1=TRUE)*(_xlpm.Halbjahr2=TRUE))&gt;0
)</f>
        <v>0</v>
      </c>
    </row>
    <row r="17" spans="2:23">
      <c r="B17" s="34" t="str">
        <v/>
      </c>
      <c r="C17" s="1" t="str">
        <v>Philosophie</v>
      </c>
      <c r="E17" s="2" t="b">
        <v>0</v>
      </c>
      <c r="F17" s="2" t="b">
        <v>0</v>
      </c>
      <c r="G17" s="1" t="str">
        <f t="shared" si="0"/>
        <v/>
      </c>
      <c r="J17" s="7" t="s">
        <v>81</v>
      </c>
    </row>
    <row r="18" spans="2:23">
      <c r="B18" s="34" t="str">
        <v>3. Aufgabenfeld</v>
      </c>
      <c r="C18" s="1" t="str">
        <v>Mathematik</v>
      </c>
      <c r="E18" s="2" t="b">
        <v>1</v>
      </c>
      <c r="F18" s="2" t="b">
        <v>1</v>
      </c>
      <c r="G18" s="1">
        <f t="shared" si="0"/>
        <v>4</v>
      </c>
      <c r="J18" s="1" t="s">
        <v>82</v>
      </c>
      <c r="K18" s="46" t="b" cm="1">
        <f t="array" ref="K18">_xlfn.LET(
  _xlpm.KursSp,INDEX($B$4:$G$40,0,MATCH("Kurs",$B$3:$G$3,0)),
  _xlpm.Halbjahr1,INDEX($B$4:$G$40,0,MATCH("Q1/2",$B$3:$G$3,0)),
  _xlpm.Halbjahr2,INDEX($B$4:$G$40,0,MATCH("Q3/4",$B$3:$G$3,0)),
  SUMPRODUCT((_xlpm.KursSp="Deutsch")*(_xlpm.Halbjahr1=TRUE)*(_xlpm.Halbjahr2=TRUE))&gt;0
)</f>
        <v>1</v>
      </c>
    </row>
    <row r="19" spans="2:23">
      <c r="B19" s="34" t="str">
        <v/>
      </c>
      <c r="C19" s="1" t="str">
        <v>Physik</v>
      </c>
      <c r="E19" s="2" t="b">
        <v>0</v>
      </c>
      <c r="F19" s="2" t="b">
        <v>0</v>
      </c>
      <c r="G19" s="1" t="str">
        <f t="shared" si="0"/>
        <v/>
      </c>
      <c r="J19" s="1" t="s">
        <v>83</v>
      </c>
      <c r="K19" s="35" t="b" cm="1">
        <f t="array" ref="K19">_xlfn.LET(
  _xlpm.KursSp,INDEX($B$4:$G$34,0,MATCH("Kurs",$B$3:$G$3,0)),
  _xlpm.Halbjahr1,INDEX($B$4:$G$34,0,MATCH("Q1/2",$B$3:$G$3,0)),
  _xlpm.Halbjahr2,INDEX($B$4:$G$34,0,MATCH("Q3/4",$B$3:$G$3,0)),
  _xlpm.Kurs_FS,_xlfn._xlws.FILTER(
            INDEX('Angebotene Kurse'!$B$4:$G$29,0,MATCH("Kurs",'Angebotene Kurse'!$B$3:$G$3,0)),
            INDEX('Angebotene Kurse'!$B$4:$G$29,0,MATCH("Typ",'Angebotene Kurse'!$B$3:$G$3,0))="Fremdsprache"
          ),
  SUMPRODUCT((_xlpm.Halbjahr1=TRUE)*(_xlpm.Halbjahr2=TRUE)*ISNUMBER(MATCH(_xlpm.KursSp,_xlpm.Kurs_FS,0)))&gt;0
)</f>
        <v>0</v>
      </c>
    </row>
    <row r="20" spans="2:23">
      <c r="B20" s="34" t="str">
        <v/>
      </c>
      <c r="C20" s="1" t="str">
        <v>Chemie</v>
      </c>
      <c r="E20" s="2" t="b">
        <v>0</v>
      </c>
      <c r="F20" s="2" t="b">
        <v>0</v>
      </c>
      <c r="G20" s="1" t="str">
        <f t="shared" si="0"/>
        <v/>
      </c>
      <c r="J20" s="1" t="s">
        <v>84</v>
      </c>
      <c r="K20" s="35" t="b" cm="1">
        <f t="array" ref="K20">_xlfn.LET(
  _xlpm.KursSp,   INDEX($B$4:$G$40,0,MATCH("Kurs",$B$3:$G$3,0)),
  _xlpm.Halbjahr1,INDEX($B$4:$G$40,0,MATCH("Q1/2",$B$3:$G$3,0)),
  _xlpm.Halbjahr2,INDEX($B$4:$G$40,0,MATCH("Q3/4",$B$3:$G$3,0)),
  _xlpm.Kurs_KUNST, _xlfn._xlws.FILTER(
                INDEX('Angebotene Kurse'!$B$4:$G$29,0,MATCH("Kurs",'Angebotene Kurse'!$B$3:$G$3,0)),
                INDEX('Angebotene Kurse'!$B$4:$G$29,0,MATCH("Typ",'Angebotene Kurse'!$B$3:$G$3,0))="Künstlerisch"
              ),
  SUMPRODUCT(((_xlpm.Halbjahr1=TRUE)+(_xlpm.Halbjahr2=TRUE)&gt;0)*ISNUMBER(MATCH(_xlpm.KursSp,_xlpm.Kurs_KUNST,0)))&gt;0
)</f>
        <v>0</v>
      </c>
    </row>
    <row r="21" spans="2:23">
      <c r="B21" s="34" t="str">
        <v/>
      </c>
      <c r="C21" s="1" t="str">
        <v>Biologie</v>
      </c>
      <c r="E21" s="2" t="b">
        <v>0</v>
      </c>
      <c r="F21" s="2" t="b">
        <v>0</v>
      </c>
      <c r="G21" s="1" t="str">
        <f t="shared" si="0"/>
        <v/>
      </c>
      <c r="J21" s="7" t="s">
        <v>85</v>
      </c>
    </row>
    <row r="22" spans="2:23" ht="15" customHeight="1">
      <c r="B22" s="34" t="str">
        <v/>
      </c>
      <c r="C22" s="1" t="str">
        <v>Informatik</v>
      </c>
      <c r="E22" s="2" t="b">
        <v>0</v>
      </c>
      <c r="F22" s="2" t="b">
        <v>0</v>
      </c>
      <c r="G22" s="1" t="str">
        <f t="shared" si="0"/>
        <v/>
      </c>
      <c r="H22" s="24"/>
      <c r="J22" s="1" t="s">
        <v>86</v>
      </c>
      <c r="K22" s="46" t="b" cm="1">
        <f t="array" ref="K22">_xlfn.LET(
  _xlpm.KursSp,INDEX($B$4:$G$40,0,MATCH("Kurs",$B$3:$G$3,0)),
  _xlpm.Halbjahr1,INDEX($B$4:$G$40,0,MATCH("Q1/2",$B$3:$G$3,0)),
  _xlpm.Halbjahr2,INDEX($B$4:$G$40,0,MATCH("Q3/4",$B$3:$G$3,0)),
  _xlpm.Z,ROW($B$4:$B$40),
  _xlpm.aufgabenfeld2,_xlfn.AGGREGATE(15,6,_xlpm.Z/($B$4:$B$40="2. Aufgabenfeld"),1),
  _xlpm.aufgabenfeld3,_xlfn.AGGREGATE(15,6,_xlpm.Z/($B$4:$B$40="3. Aufgabenfeld"),1),
  _xlpm.IN_BEREICH,(_xlpm.Z&gt;=_xlpm.aufgabenfeld2)*(_xlpm.Z&lt;_xlpm.aufgabenfeld3),
  _xlpm.count_durch,SUMPRODUCT(_xlpm.IN_BEREICH*(_xlpm.Halbjahr1=TRUE)*(_xlpm.Halbjahr2=TRUE)),
  _xlpm.count_any,SUMPRODUCT(_xlpm.IN_BEREICH*(((_xlpm.Halbjahr1=TRUE)+(_xlpm.Halbjahr2=TRUE))&gt;0)),
  (_xlpm.count_durch&gt;0)*(_xlpm.count_any&gt;=2)&gt;0
)</f>
        <v>0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2:23" ht="15" customHeight="1">
      <c r="B23" s="34" t="str">
        <v>Sport</v>
      </c>
      <c r="C23" s="1" t="str">
        <v>Sport</v>
      </c>
      <c r="E23" s="2" t="b">
        <v>1</v>
      </c>
      <c r="F23" s="2" t="b">
        <v>1</v>
      </c>
      <c r="G23" s="1">
        <f t="shared" si="0"/>
        <v>4</v>
      </c>
      <c r="J23" s="1" t="s">
        <v>87</v>
      </c>
      <c r="K23" s="35" t="b" cm="1">
        <f t="array" ref="K23">_xlfn.LET(
  _xlpm.kopfzeilen,$B$3:$G$3, _xlpm.datenbereich,$B$4:$G$40,
  _xlpm.spalte_kurs,INDEX(_xlpm.datenbereich,0,MATCH("Kurs",_xlpm.kopfzeilen,0)),
  _xlpm.spalte_q12,INDEX(_xlpm.datenbereich,0,MATCH("Q1/2",_xlpm.kopfzeilen,0)),
  _xlpm.spalte_q34,INDEX(_xlpm.datenbereich,0,MATCH("Q3/4",_xlpm.kopfzeilen,0)),
  _xlpm.zeilenindex,ROW($B$4:$B$40),
  _xlpm.start_aufgabenfeld2,_xlfn.AGGREGATE(15,6,_xlpm.zeilenindex/($B$4:$B$40="2. Aufgabenfeld"),1),
  _xlpm.start_aufgabenfeld3,_xlfn.AGGREGATE(15,6,_xlpm.zeilenindex/($B$4:$B$40="3. Aufgabenfeld"),1),
  _xlpm.in_aufgabenfeld2,(_xlpm.zeilenindex&gt;=_xlpm.start_aufgabenfeld2)*(_xlpm.zeilenindex&lt;_xlpm.start_aufgabenfeld3),
  _xlpm.durchgehend_vec,(_xlpm.spalte_q12=TRUE)*(_xlpm.spalte_q34=TRUE),
  _xlpm.ist_geschichte,((_xlpm.spalte_kurs="Geschichte")+(_xlpm.spalte_kurs="Geschichte bili")&gt;0),
  _xlpm.geschichte_durch,SUMPRODUCT(_xlpm.ist_geschichte*_xlpm.durchgehend_vec)&gt;0,
  _xlpm.politik_q34,SUMPRODUCT((_xlpm.spalte_kurs="Politikwissenschaften")*(_xlpm.spalte_q34=TRUE))&gt;0,
  _xlpm.anderes_af2_durch,SUMPRODUCT(_xlpm.in_aufgabenfeld2*(_xlpm.ist_geschichte=FALSE)*_xlpm.durchgehend_vec)&gt;0,
  IF(_xlpm.geschichte_durch, OR(_xlpm.politik_q34, _xlpm.anderes_af2_durch), TRUE)
)</f>
        <v>1</v>
      </c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</row>
    <row r="24" spans="2:23">
      <c r="B24" s="34" t="str">
        <v/>
      </c>
      <c r="C24" s="1" t="str">
        <v>Sport Theorie</v>
      </c>
      <c r="E24" s="2" t="b">
        <v>0</v>
      </c>
      <c r="F24" s="2" t="b">
        <v>0</v>
      </c>
      <c r="G24" s="1" t="str">
        <f>IF((F24+E24)&gt;0,(F24+E24)*2,"")</f>
        <v/>
      </c>
      <c r="J24" s="1" t="s">
        <v>88</v>
      </c>
      <c r="K24" s="35" t="b" cm="1">
        <f t="array" ref="K24">_xlfn.LET(
  _xlpm.kopfzeilen,$B$3:$G$3, _xlpm.datenbereich,$B$4:$G$40,
  _xlpm.spalte_kurs,INDEX(_xlpm.datenbereich,0,MATCH("Kurs",_xlpm.kopfzeilen,0)),
  _xlpm.spalte_q12,INDEX(_xlpm.datenbereich,0,MATCH("Q1/2",_xlpm.kopfzeilen,0)),
  _xlpm.spalte_q34,INDEX(_xlpm.datenbereich,0,MATCH("Q3/4",_xlpm.kopfzeilen,0)),
  _xlpm.ist_geschichte,((_xlpm.spalte_kurs="Geschichte")+(_xlpm.spalte_kurs="Geschichte bili")&gt;0),
  _xlpm.geschichte_durch,SUMPRODUCT(_xlpm.ist_geschichte*(_xlpm.spalte_q12=TRUE)*(_xlpm.spalte_q34=TRUE))&gt;0,
  _xlpm.geschichte_q34,SUMPRODUCT(_xlpm.ist_geschichte*(_xlpm.spalte_q34=TRUE))&gt;0,
  IF(NOT(_xlpm.geschichte_durch), _xlpm.geschichte_q34, TRUE)
)</f>
        <v>0</v>
      </c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</row>
    <row r="25" spans="2:23">
      <c r="B25" s="34" t="str">
        <v/>
      </c>
      <c r="C25" s="1" t="str">
        <v>Skifahrt</v>
      </c>
      <c r="E25" s="2" t="b">
        <v>1</v>
      </c>
      <c r="G25" s="1">
        <f>IF((F25+E25)*2&gt;0,(F25+E25),"")</f>
        <v>1</v>
      </c>
      <c r="J25" s="1" t="s">
        <v>89</v>
      </c>
      <c r="K25" s="35" t="b" cm="1">
        <f t="array" ref="K25">_xlfn.LET(
  _xlpm.kopfzeilen,Kurswahl!$B$3:$G$3,
  _xlpm.datenbereich,Kurswahl!$B$4:$G$40,
  _xlpm.spalte_kurs,INDEX(_xlpm.datenbereich,0,MATCH("Kurs",_xlpm.kopfzeilen,0)),
  _xlpm.spalte_q12,INDEX(_xlpm.datenbereich,0,MATCH("Q1/2",_xlpm.kopfzeilen,0)),
  _xlpm.spalte_q34,INDEX(_xlpm.datenbereich,0,MATCH("Q3/4",_xlpm.kopfzeilen,0)),
  _xlpm.basisname,IF(RIGHT(_xlpm.spalte_kurs,5)=" bili",LEFT(_xlpm.spalte_kurs,LEN(_xlpm.spalte_kurs)-5),_xlpm.spalte_kurs),
  _xlpm.paarmatrix,--(_xlpm.basisname=TRANSPOSE(_xlpm.basisname)),
  _xlpm.belegt,--(((_xlpm.spalte_q12=TRUE)+(_xlpm.spalte_q34=TRUE))&gt;0),
  _xlpm.anzahl_belegt_pro_zeile,MMULT(_xlpm.paarmatrix,_xlpm.belegt),
  _xlpm.doppelt_gesamt,MAX(_xlpm.anzahl_belegt_pro_zeile*_xlpm.belegt)&gt;1,
  NOT(_xlpm.doppelt_gesamt)
)</f>
        <v>1</v>
      </c>
    </row>
    <row r="26" spans="2:23">
      <c r="B26" s="34" t="str">
        <v>Zusatzkurse</v>
      </c>
      <c r="C26" s="1" t="str">
        <v>Chor</v>
      </c>
      <c r="E26" s="2" t="b">
        <v>0</v>
      </c>
      <c r="F26" s="2" t="b">
        <v>0</v>
      </c>
      <c r="G26" s="1" t="str">
        <f t="shared" si="0"/>
        <v/>
      </c>
      <c r="J26" s="7" t="s">
        <v>90</v>
      </c>
    </row>
    <row r="27" spans="2:23">
      <c r="B27" s="34" t="str">
        <v/>
      </c>
      <c r="C27" s="1" t="str">
        <v>Orchester</v>
      </c>
      <c r="E27" s="2" t="b">
        <v>0</v>
      </c>
      <c r="F27" s="2" t="b">
        <v>0</v>
      </c>
      <c r="G27" s="1" t="str">
        <f t="shared" si="0"/>
        <v/>
      </c>
      <c r="J27" s="1" t="s">
        <v>91</v>
      </c>
      <c r="K27" s="46" t="b" cm="1">
        <f t="array" ref="K27">_xlfn.LET(
  _xlpm.KursSp,INDEX($B$4:$G$40,0,MATCH("Kurs",$B$3:$G$3,0)),
  _xlpm.Halbjahr1,INDEX($B$4:$G$40,0,MATCH("Q1/2",$B$3:$G$3,0)),
  _xlpm.Halbjahr2,INDEX($B$4:$G$40,0,MATCH("Q3/4",$B$3:$G$3,0)),
  SUMPRODUCT((_xlpm.KursSp="Mathematik")*(_xlpm.Halbjahr1=TRUE)*(_xlpm.Halbjahr2=TRUE))&gt;0
)</f>
        <v>1</v>
      </c>
    </row>
    <row r="28" spans="2:23">
      <c r="B28" s="34" t="str">
        <v/>
      </c>
      <c r="C28" s="1" t="str">
        <v>Digitale Welten</v>
      </c>
      <c r="E28" s="2" t="b">
        <v>0</v>
      </c>
      <c r="F28" s="2" t="b">
        <v>0</v>
      </c>
      <c r="G28" s="1" t="str">
        <f t="shared" si="0"/>
        <v/>
      </c>
      <c r="J28" s="1" t="s">
        <v>92</v>
      </c>
      <c r="K28" s="35" t="b" cm="1">
        <f t="array" ref="K28">_xlfn.LET(
  _xlpm.KursSp,   INDEX($B$4:$G$40,0,MATCH("Kurs",$B$3:$G$3,0)),
  _xlpm.Halbjahr1,INDEX($B$4:$G$40,0,MATCH("Q1/2",$B$3:$G$3,0)),
  _xlpm.Halbjahr2,INDEX($B$4:$G$40,0,MATCH("Q3/4",$B$3:$G$3,0)),
  _xlpm.Kurs_NW,  _xlfn._xlws.FILTER(
              INDEX('Angebotene Kurse'!$B$4:$G$29,0,MATCH("Kurs",'Angebotene Kurse'!$B$3:$G$3,0)),
              INDEX('Angebotene Kurse'!$B$4:$G$29,0,MATCH("Typ",'Angebotene Kurse'!$B$3:$G$3,0))="Naturwissenschaft"
            ),
  SUMPRODUCT((_xlpm.Halbjahr1=TRUE)*(_xlpm.Halbjahr2=TRUE)*ISNUMBER(MATCH(_xlpm.KursSp,_xlpm.Kurs_NW,0)))&gt;0
)</f>
        <v>0</v>
      </c>
    </row>
    <row r="29" spans="2:23">
      <c r="B29" s="34" t="str">
        <v/>
      </c>
      <c r="C29" s="1" t="str">
        <v>Neuro</v>
      </c>
      <c r="E29" s="2" t="b">
        <v>0</v>
      </c>
      <c r="F29" s="2" t="b">
        <v>0</v>
      </c>
      <c r="G29" s="1" t="str">
        <f t="shared" si="0"/>
        <v/>
      </c>
      <c r="J29" s="1" t="s">
        <v>93</v>
      </c>
      <c r="K29" s="57" t="b" cm="1">
        <f t="array" ref="K29">_xlfn.LET(
  _xlpm.KursSp,INDEX($B$4:$G$40,0,MATCH("Kurs",$B$3:$G$3,0)),
  _xlpm.Halbjahr1,INDEX($B$4:$G$40,0,MATCH("Q1/2",$B$3:$G$3,0)),
  _xlpm.Halbjahr2,INDEX($B$4:$G$40,0,MATCH("Q3/4",$B$3:$G$3,0)),
  _xlpm.bio_durch,SUMPRODUCT((_xlpm.KursSp="Biologie")*(_xlpm.Halbjahr1=TRUE)*(_xlpm.Halbjahr2=TRUE))&gt;0,
  IF(
    _xlpm.bio_durch,
    SUMPRODUCT( ((_xlpm.KursSp="Physik")+(_xlpm.KursSp="Chemie")&gt;0) * (((_xlpm.Halbjahr1=TRUE)+(_xlpm.Halbjahr2=TRUE))&gt;0) )&gt;0,
    TRUE
  )
)</f>
        <v>1</v>
      </c>
    </row>
    <row r="30" spans="2:23">
      <c r="B30" s="34" t="str">
        <v/>
      </c>
      <c r="C30" s="1" t="str">
        <v>STUB (ESB)</v>
      </c>
      <c r="E30" s="2" t="b">
        <v>0</v>
      </c>
      <c r="F30" s="2" t="b">
        <v>0</v>
      </c>
      <c r="G30" s="1" t="str">
        <f>IF((F30+E30)*2&gt;0,(F30+E30)*2,"")</f>
        <v/>
      </c>
      <c r="J30" s="1" t="s">
        <v>94</v>
      </c>
      <c r="K30" s="35" t="b" cm="1">
        <f t="array" ref="K30">_xlfn.LET(
  _xlpm.KursSp,   INDEX($B$4:$G$40,0,MATCH("Kurs",$B$3:$G$3,0)),
  _xlpm.Halbjahr1,INDEX($B$4:$G$40,0,MATCH("Q1/2",$B$3:$G$3,0)),
  _xlpm.Halbjahr2,INDEX($B$4:$G$40,0,MATCH("Q3/4",$B$3:$G$3,0)),
  SUMPRODUCT((_xlpm.KursSp="Sport")*(_xlpm.Halbjahr1=TRUE)*(_xlpm.Halbjahr2=TRUE))&gt;0
)</f>
        <v>1</v>
      </c>
    </row>
    <row r="31" spans="2:23">
      <c r="B31" s="34" t="str">
        <v/>
      </c>
      <c r="C31" s="1" t="str">
        <v>Sportmedizin</v>
      </c>
      <c r="D31" s="30"/>
      <c r="E31" s="2" t="b">
        <v>0</v>
      </c>
      <c r="F31" s="2" t="b">
        <v>0</v>
      </c>
      <c r="G31" s="1" t="str">
        <f>IF((F31+E31)*2&gt;0,(F31+E31)*2,"")</f>
        <v/>
      </c>
      <c r="J31" s="34" t="s">
        <v>95</v>
      </c>
    </row>
    <row r="32" spans="2:23">
      <c r="B32" s="34" t="str">
        <v/>
      </c>
      <c r="C32" s="1" t="str">
        <v>CCC</v>
      </c>
      <c r="E32" s="2" t="b">
        <v>0</v>
      </c>
      <c r="F32" s="2" t="b">
        <v>0</v>
      </c>
      <c r="G32" s="1" t="str">
        <f>IF((F32+E32)*2&gt;0,(F32+E32)*2,"")</f>
        <v/>
      </c>
      <c r="J32" s="42" t="s">
        <v>96</v>
      </c>
      <c r="K32" s="35" t="b" cm="1">
        <f t="array" ref="K32">_xlfn.LET(
  _xlpm.kopfzeilen,$B$3:$G$3, _xlpm.datenbereich,$B$4:$G$40,
  _xlpm.spalte_kurs,INDEX(_xlpm.datenbereich,0,MATCH("Kurs",_xlpm.kopfzeilen,0)),
  _xlpm.spalte_pf,INDEX(_xlpm.datenbereich,0,MATCH("PF",_xlpm.kopfzeilen,0)),
  _xlpm.angebot_kopf,'Angebotene Kurse'!$B$3:$G$3,
  _xlpm.angebot_daten,'Angebotene Kurse'!$B$4:$G$1002,
  _xlpm.angebot_kurs,INDEX(_xlpm.angebot_daten,0,MATCH("Kurs",_xlpm.angebot_kopf,0)),
  _xlpm.angebot_lk, INDEX(_xlpm.angebot_daten,0,MATCH("LK?",_xlpm.angebot_kopf,0)),
  _xlpm.ist_pf_markiert,(_xlpm.spalte_pf="LF")+(_xlpm.spalte_pf="3. PF")+(_xlpm.spalte_pf="4. PF")+(_xlpm.spalte_pf="5. PK")&gt;0,
  _xlpm.kurs_existiert,ISNUMBER(MATCH(_xlpm.spalte_kurs,_xlpm.angebot_kurs,0)),
  _xlpm.angebot_lk_map,IFERROR(_xlfn.XLOOKUP(_xlpm.spalte_kurs,_xlpm.angebot_kurs,_xlpm.angebot_lk,FALSE),FALSE),
  _xlpm.verletzung_existenz,SUMPRODUCT(_xlpm.ist_pf_markiert*(_xlpm.kurs_existiert=FALSE)),
  _xlpm.verletzung_lkflag,SUMPRODUCT((_xlpm.spalte_pf="LF")*(_xlpm.angebot_lk_map&lt;&gt;TRUE)),
  AND(_xlpm.verletzung_existenz=0, _xlpm.verletzung_lkflag=0)
)</f>
        <v>1</v>
      </c>
    </row>
    <row r="33" spans="2:21" ht="15" customHeight="1">
      <c r="B33" s="34" t="str">
        <v/>
      </c>
      <c r="C33" s="12" t="str">
        <v>Debating</v>
      </c>
      <c r="E33" s="2" t="b">
        <v>0</v>
      </c>
      <c r="F33" s="2" t="b">
        <v>0</v>
      </c>
      <c r="G33" s="1" t="str">
        <f>IF((F33+E33)*2&gt;0,(F33+E33)*2,"")</f>
        <v/>
      </c>
      <c r="J33" s="1" t="s">
        <v>97</v>
      </c>
      <c r="K33" s="35" t="b" cm="1">
        <f t="array" ref="K33">_xlfn.LET(
  _xlpm.kopfzeilen,$B$3:$G$3, _xlpm.datenbereich,$B$4:$G$40,
  _xlpm.spalte_kurs,INDEX(_xlpm.datenbereich,0,MATCH("Kurs",_xlpm.kopfzeilen,0)),
  _xlpm.spalte_q12,INDEX(_xlpm.datenbereich,0,MATCH("Q1/2",_xlpm.kopfzeilen,0)),
  _xlpm.spalte_q34,INDEX(_xlpm.datenbereich,0,MATCH("Q3/4",_xlpm.kopfzeilen,0)),
  _xlpm.angebot_kopf,'Angebotene Kurse'!$B$3:$G$3, _xlpm.angebot_daten,'Angebotene Kurse'!$B$4:$G$1002,
  _xlpm.angebot_kurs,INDEX(_xlpm.angebot_daten,0,MATCH("Kurs",_xlpm.angebot_kopf,0)),
  _xlpm.angebot_q12,INDEX(_xlpm.angebot_daten,0,MATCH("Q1/2",_xlpm.angebot_kopf,0)),
  _xlpm.angebot_q34,INDEX(_xlpm.angebot_daten,0,MATCH("Q3/4",_xlpm.angebot_kopf,0)),
  _xlpm.angebot_q12_map,IFERROR(_xlfn.XLOOKUP(_xlpm.spalte_kurs,_xlpm.angebot_kurs,_xlpm.angebot_q12,FALSE),FALSE),
  _xlpm.angebot_q34_map,IFERROR(_xlfn.XLOOKUP(_xlpm.spalte_kurs,_xlpm.angebot_kurs,_xlpm.angebot_q34,FALSE),FALSE),
  _xlpm.fehler_summe,SUMPRODUCT( (_xlpm.spalte_q12=TRUE)*(_xlpm.angebot_q12_map=FALSE) + (_xlpm.spalte_q34=TRUE)*(_xlpm.angebot_q34_map=FALSE) ),
  _xlpm.fehler_summe=0
)</f>
        <v>1</v>
      </c>
    </row>
    <row r="34" spans="2:21" ht="15" customHeight="1">
      <c r="B34" s="34" t="s">
        <v>98</v>
      </c>
      <c r="E34" s="35">
        <f>COUNTIFS(E4:E33,TRUE,C4:C33,"&lt;&gt;Skifahrt")</f>
        <v>3</v>
      </c>
      <c r="F34" s="35">
        <f>COUNTIFS(F4:F33,TRUE,C4:C33,"&lt;&gt;Skifahrt")</f>
        <v>3</v>
      </c>
      <c r="G34" s="1">
        <f>SUM(G4:G32)</f>
        <v>13</v>
      </c>
      <c r="J34" s="30"/>
      <c r="K34" s="30"/>
    </row>
    <row r="35" spans="2:21">
      <c r="I35" s="30"/>
      <c r="J35" s="82" t="s">
        <v>64</v>
      </c>
      <c r="K35" s="30"/>
    </row>
    <row r="36" spans="2:21">
      <c r="B36" s="30" t="s">
        <v>99</v>
      </c>
      <c r="J36" s="30"/>
      <c r="K36" s="30"/>
    </row>
    <row r="37" spans="2:21" ht="15" customHeight="1">
      <c r="B37" s="30"/>
      <c r="C37" s="30"/>
      <c r="D37" s="30"/>
      <c r="E37" s="30"/>
      <c r="F37" s="30"/>
      <c r="G37" s="30"/>
      <c r="H37" s="30"/>
      <c r="I37" s="30"/>
      <c r="J37" s="22"/>
      <c r="K37" s="22"/>
      <c r="L37" s="75"/>
      <c r="M37" s="75"/>
      <c r="N37" s="75"/>
      <c r="O37" s="75"/>
      <c r="P37" s="75"/>
      <c r="Q37" s="75"/>
      <c r="R37" s="75"/>
      <c r="S37" s="75"/>
      <c r="T37" s="75"/>
      <c r="U37" s="75"/>
    </row>
    <row r="38" spans="2:21">
      <c r="B38" s="30"/>
      <c r="C38" s="30"/>
      <c r="D38" s="30"/>
      <c r="E38" s="30"/>
      <c r="F38" s="30"/>
      <c r="G38" s="30"/>
      <c r="H38" s="30"/>
      <c r="I38" s="30"/>
      <c r="J38" s="22"/>
      <c r="K38" s="22"/>
      <c r="L38" s="75"/>
      <c r="M38" s="75"/>
      <c r="N38" s="75"/>
      <c r="O38" s="75"/>
      <c r="P38" s="75"/>
      <c r="Q38" s="75"/>
      <c r="R38" s="75"/>
      <c r="S38" s="75"/>
      <c r="T38" s="75"/>
      <c r="U38" s="75"/>
    </row>
    <row r="39" spans="2:21">
      <c r="B39" s="30"/>
      <c r="C39" s="30"/>
      <c r="D39" s="30"/>
      <c r="E39" s="30"/>
      <c r="F39" s="30"/>
      <c r="G39" s="30"/>
      <c r="H39" s="30"/>
      <c r="I39" s="30"/>
      <c r="J39" s="22"/>
      <c r="K39" s="22"/>
    </row>
    <row r="40" spans="2:21">
      <c r="J40" s="22"/>
      <c r="K40" s="75"/>
    </row>
    <row r="41" spans="2:21">
      <c r="B41" s="55"/>
    </row>
    <row r="42" spans="2:21">
      <c r="B42" s="55"/>
    </row>
    <row r="43" spans="2:21">
      <c r="B43" s="55"/>
    </row>
    <row r="44" spans="2:21">
      <c r="B44" s="55"/>
    </row>
    <row r="45" spans="2:21">
      <c r="B45" s="55"/>
    </row>
    <row r="46" spans="2:21">
      <c r="B46" s="55"/>
    </row>
    <row r="47" spans="2:21">
      <c r="B47" s="55"/>
    </row>
    <row r="48" spans="2:21">
      <c r="B48" s="55"/>
    </row>
    <row r="49" spans="2:2">
      <c r="B49" s="55"/>
    </row>
    <row r="50" spans="2:2">
      <c r="B50" s="55"/>
    </row>
    <row r="51" spans="2:2">
      <c r="B51" s="55"/>
    </row>
    <row r="52" spans="2:2">
      <c r="B52" s="55"/>
    </row>
    <row r="53" spans="2:2">
      <c r="B53" s="55"/>
    </row>
    <row r="54" spans="2:2">
      <c r="B54" s="55"/>
    </row>
    <row r="55" spans="2:2">
      <c r="B55" s="55"/>
    </row>
    <row r="56" spans="2:2">
      <c r="B56" s="55"/>
    </row>
    <row r="57" spans="2:2">
      <c r="B57" s="55"/>
    </row>
    <row r="58" spans="2:2">
      <c r="B58" s="55"/>
    </row>
    <row r="59" spans="2:2">
      <c r="B59" s="55"/>
    </row>
    <row r="60" spans="2:2">
      <c r="B60" s="55"/>
    </row>
    <row r="61" spans="2:2">
      <c r="B61" s="55"/>
    </row>
    <row r="62" spans="2:2">
      <c r="B62" s="55"/>
    </row>
    <row r="63" spans="2:2">
      <c r="B63" s="55"/>
    </row>
    <row r="64" spans="2:2">
      <c r="B64" s="55"/>
    </row>
    <row r="65" spans="2:2">
      <c r="B65" s="55"/>
    </row>
    <row r="66" spans="2:2">
      <c r="B66" s="55"/>
    </row>
    <row r="67" spans="2:2">
      <c r="B67" s="55"/>
    </row>
    <row r="68" spans="2:2">
      <c r="B68" s="55"/>
    </row>
    <row r="69" spans="2:2">
      <c r="B69" s="55"/>
    </row>
    <row r="70" spans="2:2">
      <c r="B70" s="55"/>
    </row>
    <row r="71" spans="2:2">
      <c r="B71" s="55"/>
    </row>
    <row r="72" spans="2:2">
      <c r="B72" s="55"/>
    </row>
    <row r="73" spans="2:2">
      <c r="B73" s="55"/>
    </row>
    <row r="74" spans="2:2">
      <c r="B74" s="55"/>
    </row>
    <row r="75" spans="2:2">
      <c r="B75" s="55"/>
    </row>
    <row r="76" spans="2:2">
      <c r="B76" s="55"/>
    </row>
    <row r="77" spans="2:2">
      <c r="B77" s="55"/>
    </row>
    <row r="78" spans="2:2">
      <c r="B78" s="55"/>
    </row>
    <row r="79" spans="2:2">
      <c r="B79" s="55"/>
    </row>
    <row r="80" spans="2:2">
      <c r="B80" s="55"/>
    </row>
    <row r="81" spans="2:2">
      <c r="B81" s="55"/>
    </row>
    <row r="82" spans="2:2">
      <c r="B82" s="55"/>
    </row>
    <row r="83" spans="2:2">
      <c r="B83" s="55"/>
    </row>
    <row r="84" spans="2:2">
      <c r="B84" s="55"/>
    </row>
    <row r="85" spans="2:2">
      <c r="B85" s="55"/>
    </row>
    <row r="86" spans="2:2">
      <c r="B86" s="55"/>
    </row>
    <row r="87" spans="2:2">
      <c r="B87" s="55"/>
    </row>
    <row r="88" spans="2:2">
      <c r="B88" s="55"/>
    </row>
    <row r="89" spans="2:2">
      <c r="B89" s="55"/>
    </row>
    <row r="90" spans="2:2">
      <c r="B90" s="55"/>
    </row>
  </sheetData>
  <sheetProtection algorithmName="SHA-512" hashValue="E52w5zWvDjVOpNpznV2c93qnTOD1MPcdYaEVpL3VDEhCRDCsOe7R+rDmmGDOt+6jykJyVpqYSV3qeRXAhv49KA==" saltValue="IbOdE7ypkQVfCZxqAle2cw==" spinCount="100000" sheet="1" objects="1" scenarios="1"/>
  <protectedRanges>
    <protectedRange sqref="D4:D30 D32:D33" name="Bereich1"/>
    <protectedRange sqref="E4:F33" name="Bereich2"/>
  </protectedRanges>
  <conditionalFormatting sqref="B36">
    <cfRule type="expression" dxfId="63" priority="148">
      <formula>OR(AND($C29="Kurs",COLUMN()&lt;&gt;COLUMN($B:$B)), #REF!="ALLE")</formula>
    </cfRule>
  </conditionalFormatting>
  <conditionalFormatting sqref="B3:G28 G25:G29 B31 B37 B40:G70">
    <cfRule type="expression" dxfId="62" priority="9">
      <formula>OR(AND($C3="Kurs",COLUMN()&lt;&gt;COLUMN($B:$B)), $B4="ALLE")</formula>
    </cfRule>
  </conditionalFormatting>
  <conditionalFormatting sqref="B29:G29">
    <cfRule type="expression" dxfId="61" priority="177">
      <formula>OR(AND($C29="Kurs",COLUMN()&lt;&gt;COLUMN($B:$B)), $B32="ALLE")</formula>
    </cfRule>
  </conditionalFormatting>
  <conditionalFormatting sqref="B33:G33">
    <cfRule type="expression" dxfId="60" priority="101">
      <formula>$B34="ALLE"</formula>
    </cfRule>
  </conditionalFormatting>
  <conditionalFormatting sqref="B34:G34 C35:G36">
    <cfRule type="expression" dxfId="59" priority="100">
      <formula>OR(AND($C34="Kurs",COLUMN()&lt;&gt;COLUMN($B:$B)), #REF!="ALLE")</formula>
    </cfRule>
  </conditionalFormatting>
  <conditionalFormatting sqref="C4:C32 C34:C40">
    <cfRule type="expression" dxfId="58" priority="29">
      <formula>LEN($C4&amp;"")&gt;0</formula>
    </cfRule>
  </conditionalFormatting>
  <conditionalFormatting sqref="C32 C34:G34">
    <cfRule type="expression" dxfId="57" priority="3">
      <formula>AND(LEN($B32&amp;"")&gt;0, NOT($B32="ALLE"), NOT($C30=""))</formula>
    </cfRule>
  </conditionalFormatting>
  <conditionalFormatting sqref="C35">
    <cfRule type="expression" dxfId="56" priority="1">
      <formula>AND(LEN($B35&amp;"")&gt;0, NOT($B35="ALLE"), NOT($C32=""))</formula>
    </cfRule>
  </conditionalFormatting>
  <conditionalFormatting sqref="C30:F30 G32">
    <cfRule type="expression" dxfId="55" priority="16">
      <formula>AND(LEN($B30&amp;"")&gt;0, NOT($B30="ALLE"), NOT($C28=""))</formula>
    </cfRule>
  </conditionalFormatting>
  <conditionalFormatting sqref="C4:G29 G25:G30 C40:G70">
    <cfRule type="expression" dxfId="54" priority="26">
      <formula>AND(LEN($B4&amp;"")&gt;0, NOT($B4="ALLE"), NOT($C3=""))</formula>
    </cfRule>
  </conditionalFormatting>
  <conditionalFormatting sqref="C32:G32">
    <cfRule type="expression" dxfId="53" priority="185">
      <formula>AND(LEN($B32&amp;"")&gt;0, NOT($B32="ALLE"), NOT($C29=""))</formula>
    </cfRule>
  </conditionalFormatting>
  <conditionalFormatting sqref="C35:G35">
    <cfRule type="expression" dxfId="52" priority="201">
      <formula>AND(LEN(#REF!&amp;"")&gt;0, NOT(#REF!="ALLE"), NOT(#REF!=""))</formula>
    </cfRule>
  </conditionalFormatting>
  <conditionalFormatting sqref="C36:G36">
    <cfRule type="expression" dxfId="51" priority="202">
      <formula>AND(LEN(#REF!&amp;"")&gt;0, NOT(#REF!="ALLE"), NOT($C35=""))</formula>
    </cfRule>
  </conditionalFormatting>
  <conditionalFormatting sqref="D4:D36 D40:D70">
    <cfRule type="expression" dxfId="50" priority="27">
      <formula>LEN($C4&amp;"")&gt;0</formula>
    </cfRule>
  </conditionalFormatting>
  <conditionalFormatting sqref="D4:D50">
    <cfRule type="expression" dxfId="49" priority="2">
      <formula>NOT(ISBLANK(C4))</formula>
    </cfRule>
  </conditionalFormatting>
  <conditionalFormatting sqref="D31:F31">
    <cfRule type="expression" dxfId="48" priority="10">
      <formula>OR(AND($C31="Kurs",COLUMN()&lt;&gt;COLUMN($B:$B)), $B32="ALLE")</formula>
    </cfRule>
    <cfRule type="expression" dxfId="47" priority="11">
      <formula>AND(LEN($B31&amp;"")&gt;0, NOT($B31="ALLE"), NOT($C28=""))</formula>
    </cfRule>
  </conditionalFormatting>
  <conditionalFormatting sqref="K4:K33">
    <cfRule type="expression" dxfId="46" priority="30">
      <formula>OR(ISNUMBER(FIND("FALSCH",K4&amp;"")), ISNUMBER(FIND("FALSE",K4&amp;"")))</formula>
    </cfRule>
    <cfRule type="expression" dxfId="45" priority="31">
      <formula>OR(ISNUMBER(FIND("WAHR",K4&amp;"")), ISNUMBER(FIND("TRUE",K4&amp;"")))</formula>
    </cfRule>
  </conditionalFormatting>
  <dataValidations count="1">
    <dataValidation type="list" allowBlank="1" showInputMessage="1" showErrorMessage="1" sqref="D4:D35" xr:uid="{AD2E6BD7-2E28-4375-ADDF-D522C7AB6F02}">
      <formula1>"LF,3. PF,4. PF,5. PK"</formula1>
    </dataValidation>
  </dataValidations>
  <hyperlinks>
    <hyperlink ref="J35" location="'Kommentare'!B2" display="Kommentare  ⇒" xr:uid="{A9B54CEF-1840-41FD-88C2-793590460C23}"/>
  </hyperlinks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custom" allowBlank="1" showInputMessage="1" showErrorMessage="1" xr:uid="{83DD7713-6D91-4D94-AC62-C3A9C3AD3AA5}">
          <x14:formula1>
            <xm:f>OR(   IFERROR(     N( INDEX('Angebotene Kurse'!$C$3:$F$102, MATCH(C4, 'Angebotene Kurse'!$C$4:$C$102, 0)+1, 3 ) )=1,     FALSE   ),   E4=FALSE )</xm:f>
          </x14:formula1>
          <xm:sqref>E4:E33</xm:sqref>
        </x14:dataValidation>
        <x14:dataValidation type="custom" allowBlank="1" showInputMessage="1" showErrorMessage="1" xr:uid="{74D24F19-CC25-42D3-AC1E-306F20B50AD8}">
          <x14:formula1>
            <xm:f>OR(   IFERROR(     N( INDEX('Angebotene Kurse'!$C$3:$F$102, MATCH(C4, 'Angebotene Kurse'!$C$4:$C$102, 0)+1, 4 ) )=1,     FALSE   ),   F4=FALSE )</xm:f>
          </x14:formula1>
          <xm:sqref>F4:F33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81E93-8098-4C21-BD19-6AD8B61F1956}">
  <sheetPr codeName="Tabelle4"/>
  <dimension ref="B2:Q42"/>
  <sheetViews>
    <sheetView zoomScale="150" zoomScaleNormal="139" workbookViewId="0">
      <selection activeCell="O12" sqref="O12"/>
    </sheetView>
  </sheetViews>
  <sheetFormatPr defaultColWidth="9.140625" defaultRowHeight="15"/>
  <cols>
    <col min="1" max="1" width="2.85546875" style="1" customWidth="1"/>
    <col min="2" max="2" width="16.7109375" style="74" bestFit="1" customWidth="1"/>
    <col min="3" max="3" width="19.42578125" style="1" customWidth="1"/>
    <col min="4" max="4" width="5.5703125" style="1" bestFit="1" customWidth="1"/>
    <col min="5" max="5" width="9.140625" style="1"/>
    <col min="6" max="6" width="3.42578125" style="1" customWidth="1"/>
    <col min="7" max="7" width="9.140625" style="1"/>
    <col min="8" max="8" width="3.42578125" style="1" customWidth="1"/>
    <col min="9" max="9" width="9.140625" style="1"/>
    <col min="10" max="10" width="3.42578125" style="1" customWidth="1"/>
    <col min="11" max="11" width="9.140625" style="1"/>
    <col min="12" max="12" width="3.42578125" style="1" customWidth="1"/>
    <col min="13" max="14" width="9.140625" style="1"/>
    <col min="15" max="15" width="85.7109375" style="1" customWidth="1"/>
    <col min="16" max="16" width="14.42578125" style="35" customWidth="1"/>
    <col min="17" max="17" width="9.140625" style="1"/>
    <col min="18" max="18" width="10.5703125" style="1" bestFit="1" customWidth="1"/>
    <col min="19" max="16384" width="9.140625" style="1"/>
  </cols>
  <sheetData>
    <row r="2" spans="2:17" s="29" customFormat="1" ht="18.75" customHeight="1">
      <c r="B2" s="27" t="s">
        <v>8</v>
      </c>
      <c r="C2" s="28"/>
      <c r="D2" s="28"/>
      <c r="E2" s="28"/>
      <c r="F2" s="28"/>
      <c r="G2" s="28"/>
      <c r="H2" s="28"/>
      <c r="I2" s="28"/>
      <c r="J2" s="28"/>
      <c r="K2" s="28"/>
      <c r="L2" s="28"/>
      <c r="O2" s="27" t="s">
        <v>65</v>
      </c>
      <c r="P2" s="56"/>
    </row>
    <row r="3" spans="2:17">
      <c r="C3" s="7" t="s">
        <v>19</v>
      </c>
      <c r="D3" s="7" t="s">
        <v>66</v>
      </c>
      <c r="E3" s="20" t="s">
        <v>100</v>
      </c>
      <c r="F3" s="20"/>
      <c r="G3" s="20" t="s">
        <v>101</v>
      </c>
      <c r="H3" s="20"/>
      <c r="I3" s="20" t="s">
        <v>102</v>
      </c>
      <c r="J3" s="20"/>
      <c r="K3" s="20" t="s">
        <v>103</v>
      </c>
      <c r="L3" s="20"/>
    </row>
    <row r="4" spans="2:17" ht="15" customHeight="1">
      <c r="B4" s="79" t="str" cm="1">
        <f t="array" ref="B4:D6">_xlfn.LET(
  _xlpm.Daten, Kurswahl!B4:F32,
  _xlpm.AufgRoh, INDEX(_xlpm.Daten,,1),
  _xlpm.ZeilIdx, ROW(_xlpm.AufgRoh)-MIN(ROW(_xlpm.AufgRoh))+1,
  _xlpm.Kategorie, LOOKUP(_xlpm.ZeilIdx, IF(_xlpm.AufgRoh&lt;&gt;"", _xlpm.ZeilIdx), _xlpm.AufgRoh),
  _xlpm.Kurs, INDEX(_xlpm.Daten,,2),
  _xlpm.RechtsRoh, INDEX(_xlpm.Daten,,3),
  _xlpm.Rechts, IF(_xlpm.RechtsRoh="", "", _xlpm.RechtsRoh),
  _xlpm.Maske, ((INDEX(_xlpm.Daten,,4)+INDEX(_xlpm.Daten,,5))&gt;0) * (_xlpm.Kurs&lt;&gt;"Skifahrt"),
  _xlpm.KatF, _xlfn._xlws.FILTER(_xlpm.Kategorie, _xlpm.Maske),
  _xlpm.KursF, _xlfn._xlws.FILTER(_xlpm.Kurs, _xlpm.Maske),
  _xlpm.RechtsF, _xlfn._xlws.FILTER(_xlpm.Rechts, _xlpm.Maske),
  _xlpm.n, ROWS(_xlpm.KatF),
  _xlpm.Pos, _xlfn.SEQUENCE(_xlpm.n),
  _xlpm.FirstFlag, (_xlpm.Pos=1) + (_xlpm.KatF&lt;&gt;INDEX(_xlpm.KatF, _xlpm.Pos-1)),
  _xlpm.Label, IF(_xlpm.FirstFlag, _xlpm.KatF, ""),
  _xlfn.HSTACK(_xlpm.Label, _xlpm.KursF, _xlpm.RechtsF)
)</f>
        <v>1. Aufgabenfeld</v>
      </c>
      <c r="C4" s="49" t="str">
        <v>Deutsch</v>
      </c>
      <c r="D4" s="32" t="str">
        <v/>
      </c>
      <c r="E4" s="33">
        <v>14</v>
      </c>
      <c r="F4" s="50" t="b">
        <v>0</v>
      </c>
      <c r="G4" s="33">
        <v>11</v>
      </c>
      <c r="H4" s="50" t="b">
        <v>1</v>
      </c>
      <c r="I4" s="33">
        <v>10</v>
      </c>
      <c r="J4" s="50" t="b">
        <v>0</v>
      </c>
      <c r="K4" s="33"/>
      <c r="L4" s="50" t="b">
        <v>0</v>
      </c>
      <c r="O4" s="1" t="s">
        <v>104</v>
      </c>
      <c r="P4" s="46" t="str" cm="1">
        <f t="array" ref="P4">_xlfn.LET(
  _xlpm.kursnamen,$C$4:$C$17,
  _xlpm.kurswahl_kopfzeilen,Kurswahl!$B$3:$G$3,
  _xlpm.kurswahl_zeilen,Kurswahl!$B$4:$G$100,
  _xlpm.kurswahl_spalte_kurs,Kurswahl!$C$4:$C$100,
  _xlpm.kurswahl_spalte_q12,INDEX(_xlpm.kurswahl_zeilen,0,MATCH("Q1/2",_xlpm.kurswahl_kopfzeilen,0)),
  _xlpm.kurswahl_spalte_q34,INDEX(_xlpm.kurswahl_zeilen,0,MATCH("Q3/4",_xlpm.kurswahl_kopfzeilen,0)),
  _xlpm.erlaubnis_q12,_xlfn.XLOOKUP(_xlpm.kursnamen,_xlpm.kurswahl_spalte_kurs,_xlpm.kurswahl_spalte_q12,FALSE)=TRUE,
  _xlpm.erlaubnis_q34,_xlfn.XLOOKUP(_xlpm.kursnamen,_xlpm.kurswahl_spalte_kurs,_xlpm.kurswahl_spalte_q34,FALSE)=TRUE,
  _xlpm.check_q1,$F$4:$F$17=TRUE,
  _xlpm.check_q2,$H$4:$H$17=TRUE,
  _xlpm.check_q3,$J$4:$J$17=TRUE,
  _xlpm.check_q4,$L$4:$L$17=TRUE,
  _xlpm.wertlinks_q1,NOT($E$4:$E$17=0),
  _xlpm.wertlinks_q2,NOT($G$4:$G$17=0),
  _xlpm.wertlinks_q3,NOT($I$4:$I$17=0),
  _xlpm.wertlinks_q4,NOT($K$4:$K$17=0),
  _xlpm.anzahl_regulaer,SUMPRODUCT( (_xlpm.check_q1*_xlpm.erlaubnis_q12*_xlpm.wertlinks_q1) + (_xlpm.check_q2*_xlpm.erlaubnis_q12*_xlpm.wertlinks_q2) + (_xlpm.check_q3*_xlpm.erlaubnis_q34*_xlpm.wertlinks_q3) + (_xlpm.check_q4*_xlpm.erlaubnis_q34*_xlpm.wertlinks_q4) ),
  _xlpm.skifahrt_kursname,$G$23,
  _xlpm.skifahrt_checkbox,$J$23=TRUE,
  _xlpm.skifahrt_wertlinks,NOT($I$23=0),
  _xlpm.skifahrt_q12,_xlfn.XLOOKUP(_xlpm.skifahrt_kursname,_xlpm.kurswahl_spalte_kurs,_xlpm.kurswahl_spalte_q12,FALSE)=TRUE,
  _xlpm.skifahrt_q34,_xlfn.XLOOKUP(_xlpm.skifahrt_kursname,_xlpm.kurswahl_spalte_kurs,_xlpm.kurswahl_spalte_q34,FALSE)=TRUE,
  _xlpm.skifahrt_erlaubt,OR(_xlpm.skifahrt_q12,_xlpm.skifahrt_q34),
  _xlpm.gesamt,_xlpm.anzahl_regulaer + N(_xlpm.skifahrt_checkbox*_xlpm.skifahrt_erlaubt*_xlpm.skifahrt_wertlinks),
  _xlpm.output, _xlfn.CONCAT(_xlfn.IFS(_xlpm.gesamt=32,TRUE,_xlpm.gesamt&gt;32,"ZU VIELE",TRUE,FALSE), " (", _xlpm.gesamt, ")"),
_xlpm.output
)</f>
        <v>FALSCH (2)</v>
      </c>
    </row>
    <row r="5" spans="2:17">
      <c r="B5" s="77" t="str">
        <v>3. Aufgabenfeld</v>
      </c>
      <c r="C5" s="1" t="str">
        <v>Mathematik</v>
      </c>
      <c r="D5" s="1" t="str">
        <v/>
      </c>
      <c r="E5" s="47">
        <v>13</v>
      </c>
      <c r="F5" s="48" t="b">
        <v>1</v>
      </c>
      <c r="G5" s="47"/>
      <c r="H5" s="48" t="b">
        <v>0</v>
      </c>
      <c r="I5" s="47"/>
      <c r="J5" s="48" t="b">
        <v>0</v>
      </c>
      <c r="K5" s="47"/>
      <c r="L5" s="48" t="b">
        <v>0</v>
      </c>
      <c r="O5" s="1" t="s">
        <v>105</v>
      </c>
      <c r="P5" s="35" t="b" cm="1">
        <f t="array" ref="P5">_xlfn.LET(
  _xlpm.kopfzeilen,$B$3:$L$3, _xlpm.datenbereich,$B$4:$L$17,
  _xlpm.spalte_pf,INDEX(_xlpm.datenbereich,0,MATCH("PF",_xlpm.kopfzeilen,0)),
  _xlpm.semester1,$F$4:$F$17, _xlpm.semester2,$H$4:$H$17, _xlpm.semester3,$J$4:$J$17, _xlpm.semester4,$L$4:$L$17,
  _xlpm.lk_mask,(_xlpm.spalte_pf="LF"),
  _xlpm.anzahl_lk,SUMPRODUCT( ((_xlpm.semester1=TRUE)+(_xlpm.semester2=TRUE)+(_xlpm.semester3=TRUE)+(_xlpm.semester4=TRUE)) * _xlpm.lk_mask ),
  _xlpm.anzahl_lk=8
)</f>
        <v>0</v>
      </c>
    </row>
    <row r="6" spans="2:17">
      <c r="B6" s="77" t="str">
        <v>Sport</v>
      </c>
      <c r="C6" s="1" t="str">
        <v>Sport</v>
      </c>
      <c r="D6" s="1" t="str">
        <v/>
      </c>
      <c r="E6" s="47"/>
      <c r="F6" s="48" t="b">
        <v>0</v>
      </c>
      <c r="G6" s="47"/>
      <c r="H6" s="48" t="b">
        <v>0</v>
      </c>
      <c r="I6" s="47"/>
      <c r="J6" s="48" t="b">
        <v>0</v>
      </c>
      <c r="K6" s="47"/>
      <c r="L6" s="48" t="b">
        <v>0</v>
      </c>
      <c r="O6" s="1" t="s">
        <v>106</v>
      </c>
      <c r="P6" s="35" t="str" cm="1">
        <f t="array" ref="P6">_xlfn.LET(
  _xlpm.kursnamen,$C$4:$C$17,
  _xlpm.punkteQ1,$E$4:$E$17,
  _xlpm.punkteQ2,$G$4:$G$17,
  _xlpm.punkteQ3,$I$4:$I$17,
  _xlpm.punkteQ4,$K$4:$K$17,
  _xlpm.kw_kopf,Kurswahl!$B$3:$G$3,
  _xlpm.kw_zeilen,Kurswahl!$B$4:$G$100,
  _xlpm.kw_kurs,Kurswahl!$C$4:$C$100,
  _xlpm.kw_q12,INDEX(_xlpm.kw_zeilen,0,MATCH("Q1/2",_xlpm.kw_kopf,0)),
  _xlpm.kw_q34,INDEX(_xlpm.kw_zeilen,0,MATCH("Q3/4",_xlpm.kw_kopf,0)),
  _xlpm.erlaubt_q12,_xlfn.XLOOKUP(_xlpm.kursnamen,_xlpm.kw_kurs,_xlpm.kw_q12,FALSE)=TRUE,
  _xlpm.erlaubt_q34,_xlfn.XLOOKUP(_xlpm.kursnamen,_xlpm.kw_kurs,_xlpm.kw_q34,FALSE)=TRUE,
  _xlpm.anzahl,
    SUMPRODUCT((_xlpm.punkteQ1&gt;0)*_xlpm.erlaubt_q12)+
    SUMPRODUCT((_xlpm.punkteQ2&gt;0)*_xlpm.erlaubt_q12)+
    SUMPRODUCT((_xlpm.punkteQ3&gt;0)*_xlpm.erlaubt_q34)+
    SUMPRODUCT((_xlpm.punkteQ4&gt;0)*_xlpm.erlaubt_q34)+
    N(($I$23&gt;0) * OR(
        _xlfn.XLOOKUP($G$23,_xlpm.kw_kurs,_xlpm.kw_q12,FALSE)=TRUE,
        _xlfn.XLOOKUP($G$23,_xlpm.kw_kurs,_xlpm.kw_q34,FALSE)=TRUE
      )),
  CONCATENATE(IF(_xlpm.anzahl&gt;=40,TRUE,FALSE)," (",_xlpm.anzahl,")")
)</f>
        <v>FALSCH (4)</v>
      </c>
    </row>
    <row r="7" spans="2:17">
      <c r="B7" s="77"/>
      <c r="E7" s="47"/>
      <c r="F7" s="48" t="b">
        <v>0</v>
      </c>
      <c r="G7" s="47"/>
      <c r="H7" s="48" t="b">
        <v>0</v>
      </c>
      <c r="I7" s="47"/>
      <c r="J7" s="48" t="b">
        <v>0</v>
      </c>
      <c r="K7" s="47"/>
      <c r="L7" s="48" t="b">
        <v>0</v>
      </c>
      <c r="O7" s="1" t="s">
        <v>107</v>
      </c>
      <c r="P7" s="35" t="b" cm="1">
        <f t="array" ref="P7">IFERROR(
  _xlfn.LET(
    _xlpm.kopfzeilen,$B$3:$L$3,
    _xlpm.datenbereich,$B$4:$L$17,
    _xlpm.spalte_kurs,INDEX(_xlpm.datenbereich,0,MATCH("Kurs",_xlpm.kopfzeilen,0)),
    _xlpm.spalte,MATCH("Sport",_xlpm.spalte_kurs,0),
    _xlpm.semester1,INDEX(_xlpm.datenbereich,_xlpm.spalte,MATCH("Q1",_xlpm.kopfzeilen,0)),
    _xlpm.semester2,INDEX(_xlpm.datenbereich,_xlpm.spalte,MATCH("Q2",_xlpm.kopfzeilen,0)),
    _xlpm.semester3,INDEX(_xlpm.datenbereich,_xlpm.spalte,MATCH("Q3",_xlpm.kopfzeilen,0)),
    _xlpm.semester4,INDEX(_xlpm.datenbereich,_xlpm.spalte,MATCH("Q4",_xlpm.kopfzeilen,0)),
    AND(_xlpm.semester1&gt;0,_xlpm.semester2&gt;0,_xlpm.semester3&gt;0,_xlpm.semester4&gt;0)
  ),
  FALSE
)</f>
        <v>0</v>
      </c>
    </row>
    <row r="8" spans="2:17">
      <c r="B8" s="77"/>
      <c r="E8" s="47"/>
      <c r="F8" s="48" t="b">
        <v>0</v>
      </c>
      <c r="G8" s="47"/>
      <c r="H8" s="48" t="b">
        <v>0</v>
      </c>
      <c r="I8" s="47"/>
      <c r="J8" s="48" t="b">
        <v>0</v>
      </c>
      <c r="K8" s="47"/>
      <c r="L8" s="48" t="b">
        <v>0</v>
      </c>
      <c r="O8" s="7" t="s">
        <v>108</v>
      </c>
    </row>
    <row r="9" spans="2:17">
      <c r="B9" s="77"/>
      <c r="E9" s="47"/>
      <c r="F9" s="48" t="b">
        <v>0</v>
      </c>
      <c r="G9" s="47"/>
      <c r="H9" s="48" t="b">
        <v>0</v>
      </c>
      <c r="I9" s="47"/>
      <c r="J9" s="48" t="b">
        <v>0</v>
      </c>
      <c r="K9" s="47"/>
      <c r="L9" s="48" t="b">
        <v>0</v>
      </c>
      <c r="O9" s="1" t="s">
        <v>109</v>
      </c>
      <c r="P9" s="35" t="b">
        <f>G26&gt;=300</f>
        <v>0</v>
      </c>
    </row>
    <row r="10" spans="2:17">
      <c r="B10" s="77"/>
      <c r="E10" s="47"/>
      <c r="F10" s="48" t="b">
        <v>0</v>
      </c>
      <c r="G10" s="47"/>
      <c r="H10" s="48" t="b">
        <v>0</v>
      </c>
      <c r="I10" s="47"/>
      <c r="J10" s="48" t="b">
        <v>0</v>
      </c>
      <c r="K10" s="47"/>
      <c r="L10" s="48" t="b">
        <v>0</v>
      </c>
      <c r="O10" s="1" t="s">
        <v>110</v>
      </c>
      <c r="P10" s="35" t="b" cm="1">
        <f t="array" ref="P10">_xlfn.LET(
  _xlpm.kopfzeilen,$B$3:$L$3,
  _xlpm.datenbereich,$B$4:$L$17,
  _xlpm.spalte_kurs,INDEX(_xlpm.datenbereich,0,MATCH("Kurs",_xlpm.kopfzeilen,0)),
  _xlpm.spalte_pf,INDEX(_xlpm.datenbereich,0,MATCH("PF",_xlpm.kopfzeilen,0)),
  _xlpm.kurswahl_kopfzeilen,Kurswahl!$B$3:$G$3,
  _xlpm.kurswahl_zeilen,Kurswahl!$B$4:$G$100,
  _xlpm.kurswahl_spalte_kurs,Kurswahl!$C$4:$C$100,
  _xlpm.kurswahl_spalte_q12,INDEX(_xlpm.kurswahl_zeilen,0,MATCH("Q1/2",_xlpm.kurswahl_kopfzeilen,0)),
  _xlpm.kurswahl_spalte_q34,INDEX(_xlpm.kurswahl_zeilen,0,MATCH("Q3/4",_xlpm.kurswahl_kopfzeilen,0)),
  _xlpm.erlaubnis_q12,_xlfn.XLOOKUP(_xlpm.spalte_kurs,_xlpm.kurswahl_spalte_kurs,_xlpm.kurswahl_spalte_q12,FALSE)=TRUE,
  _xlpm.erlaubnis_q34,_xlfn.XLOOKUP(_xlpm.spalte_kurs,_xlpm.kurswahl_spalte_kurs,_xlpm.kurswahl_spalte_q34,FALSE)=TRUE,
  _xlpm.gueltig_q1,($F$4:$F$17=TRUE)*_xlpm.erlaubnis_q12*($E$4:$E$17&lt;&gt;0),
  _xlpm.gueltig_q2,($H$4:$H$17=TRUE)*_xlpm.erlaubnis_q12*($G$4:$G$17&lt;&gt;0),
  _xlpm.gueltig_q3,($J$4:$J$17=TRUE)*_xlpm.erlaubnis_q34*($I$4:$I$17&lt;&gt;0),
  _xlpm.gueltig_q4,($L$4:$L$17=TRUE)*_xlpm.erlaubnis_q34*($K$4:$K$17&lt;&gt;0),
  _xlpm.noten_q1,$E$4:$E$17,
  _xlpm.noten_q2,$G$4:$G$17,
  _xlpm.noten_q3,$I$4:$I$17,
  _xlpm.noten_q4,$K$4:$K$17,
  _xlpm.leistungsfach_kennzeichen,_xlpm.spalte_pf="LF",
  _xlpm.anzahl_leistungsfach_semester_mit_weniger_fuenf,
    SUMPRODUCT(
      _xlpm.leistungsfach_kennzeichen*
      (
        _xlpm.gueltig_q1*(_xlpm.noten_q1&lt;=5)+
        _xlpm.gueltig_q2*(_xlpm.noten_q2&lt;=5)+
        _xlpm.gueltig_q3*(_xlpm.noten_q3&lt;=5)+
        _xlpm.gueltig_q4*(_xlpm.noten_q4&lt;=5)
      )
    ),
  AND($G$28&gt;=80,_xlpm.anzahl_leistungsfach_semester_mit_weniger_fuenf&lt;2)
)</f>
        <v>0</v>
      </c>
    </row>
    <row r="11" spans="2:17">
      <c r="B11" s="77"/>
      <c r="E11" s="47"/>
      <c r="F11" s="48" t="b">
        <v>0</v>
      </c>
      <c r="G11" s="47"/>
      <c r="H11" s="48" t="b">
        <v>0</v>
      </c>
      <c r="I11" s="47"/>
      <c r="J11" s="48" t="b">
        <v>0</v>
      </c>
      <c r="K11" s="47"/>
      <c r="L11" s="48" t="b">
        <v>0</v>
      </c>
      <c r="O11" s="64" t="s">
        <v>111</v>
      </c>
      <c r="P11" s="64" t="b" cm="1">
        <f t="array" ref="P11">_xlfn.LET(
  _xlpm.kopfzeilen,$B$3:$L$3,
  _xlpm.datenbereich,$B$4:$L$17,
  _xlpm.spalte_kurs,INDEX(_xlpm.datenbereich,0,MATCH("Kurs",_xlpm.kopfzeilen,0)),
  _xlpm.spalte_pf,INDEX(_xlpm.datenbereich,0,MATCH("PF",_xlpm.kopfzeilen,0)),
  _xlpm.kurswahl_kopfzeilen,Kurswahl!$B$3:$G$3,
  _xlpm.kurswahl_zeilen,Kurswahl!$B$4:$G$100,
  _xlpm.kurswahl_spalte_kurs,Kurswahl!$C$4:$C$100,
  _xlpm.kurswahl_spalte_q12,INDEX(_xlpm.kurswahl_zeilen,0,MATCH("Q1/2",_xlpm.kurswahl_kopfzeilen,0)),
  _xlpm.kurswahl_spalte_q34,INDEX(_xlpm.kurswahl_zeilen,0,MATCH("Q3/4",_xlpm.kurswahl_kopfzeilen,0)),
  _xlpm.erlaubnis_q12,_xlfn.XLOOKUP(_xlpm.spalte_kurs,_xlpm.kurswahl_spalte_kurs,_xlpm.kurswahl_spalte_q12,FALSE)=TRUE,
  _xlpm.erlaubnis_q34,_xlfn.XLOOKUP(_xlpm.spalte_kurs,_xlpm.kurswahl_spalte_kurs,_xlpm.kurswahl_spalte_q34,FALSE)=TRUE,
  _xlpm.gueltig_q1,($F$4:$F$17=TRUE)*_xlpm.erlaubnis_q12*($E$4:$E$17&lt;&gt;0),
  _xlpm.gueltig_q2,($H$4:$H$17=TRUE)*_xlpm.erlaubnis_q12*($G$4:$G$17&lt;&gt;0),
  _xlpm.gueltig_q3,($J$4:$J$17=TRUE)*_xlpm.erlaubnis_q34*($I$4:$I$17&lt;&gt;0),
  _xlpm.gueltig_q4,($L$4:$L$17=TRUE)*_xlpm.erlaubnis_q34*($K$4:$K$17&lt;&gt;0),
  _xlpm.noten_q1,$E$4:$E$17,
  _xlpm.noten_q2,$G$4:$G$17,
  _xlpm.noten_q3,$I$4:$I$17,
  _xlpm.noten_q4,$K$4:$K$17,
  _xlpm.grundkurs_kennzeichen,_xlpm.spalte_pf&lt;&gt;"LF",
  _xlpm.anzahl_grundkurs_semester_mit_mindestens_fuenf,
    SUMPRODUCT(
      _xlpm.grundkurs_kennzeichen*
      (
        _xlpm.gueltig_q1*(_xlpm.noten_q1&gt;=5)+
        _xlpm.gueltig_q2*(_xlpm.noten_q2&gt;=5)+
        _xlpm.gueltig_q3*(_xlpm.noten_q3&gt;=5)+
        _xlpm.gueltig_q4*(_xlpm.noten_q4&gt;=5)
      )
    ),
  _xlpm.skifahrt_kursname,$G$23,
  _xlpm.skifahrt_kurswahl_kopfzeilen,Kurswahl!$B$3:$G$3,
  _xlpm.skifahrt_kurswahl_zeilen,Kurswahl!$B$4:$G$100,
  _xlpm.skifahrt_kurswahl_spalte_kurs,Kurswahl!$C$4:$C$100,
  _xlpm.skifahrt_kurswahl_spalte_q12,INDEX(_xlpm.skifahrt_kurswahl_zeilen,0,MATCH("Q1/2",_xlpm.skifahrt_kurswahl_kopfzeilen,0)),
  _xlpm.skifahrt_kurswahl_spalte_q34,INDEX(_xlpm.skifahrt_kurswahl_zeilen,0,MATCH("Q3/4",_xlpm.skifahrt_kurswahl_kopfzeilen,0)),
  _xlpm.skifahrt_erlaubnis_q12,_xlfn.XLOOKUP(_xlpm.skifahrt_kursname,_xlpm.skifahrt_kurswahl_spalte_kurs,_xlpm.skifahrt_kurswahl_spalte_q12,FALSE)=TRUE,
  _xlpm.skifahrt_erlaubnis_q34,_xlfn.XLOOKUP(_xlpm.skifahrt_kursname,_xlpm.skifahrt_kurswahl_spalte_kurs,_xlpm.skifahrt_kurswahl_spalte_q34,FALSE)=TRUE,
  _xlpm.skifahrt_erlaubt,OR(_xlpm.skifahrt_erlaubnis_q12,_xlpm.skifahrt_erlaubnis_q34),
  _xlpm.skifahrt_mindestens_fuenf,(J23=TRUE)*(I23&lt;&gt;0)*(I23&gt;=5)*_xlpm.skifahrt_erlaubt,
  _xlpm.gesamt_semester_mit_mindestens_fuenf,
    _xlpm.anzahl_grundkurs_semester_mit_mindestens_fuenf+N(_xlpm.skifahrt_mindestens_fuenf),
  AND($G$29&gt;=120,_xlpm.gesamt_semester_mit_mindestens_fuenf&gt;=20)
)</f>
        <v>0</v>
      </c>
    </row>
    <row r="12" spans="2:17">
      <c r="B12" s="77"/>
      <c r="E12" s="47"/>
      <c r="F12" s="48" t="b">
        <v>0</v>
      </c>
      <c r="G12" s="47"/>
      <c r="H12" s="48" t="b">
        <v>0</v>
      </c>
      <c r="I12" s="47"/>
      <c r="J12" s="48" t="b">
        <v>1</v>
      </c>
      <c r="K12" s="47"/>
      <c r="L12" s="48" t="b">
        <v>0</v>
      </c>
      <c r="O12" s="1" t="s">
        <v>112</v>
      </c>
      <c r="P12" s="35" t="b" cm="1">
        <f t="array" ref="P12">_xlfn.LET(
  _xlpm.kopfzeilen,$B$3:$L$3,
  _xlpm.datenbereich,$B$4:$L$17,
  _xlpm.spalte_kurs,INDEX(_xlpm.datenbereich,0,MATCH("Kurs",_xlpm.kopfzeilen,0)),
  _xlpm.kurswahl_kopfzeilen,Kurswahl!$B$3:$G$3,
  _xlpm.kurswahl_zeilen,Kurswahl!$B$4:$G$100,
  _xlpm.kurswahl_spalte_kurs,Kurswahl!$C$4:$C$100,
  _xlpm.kurswahl_spalte_q12,INDEX(_xlpm.kurswahl_zeilen,0,MATCH("Q1/2",_xlpm.kurswahl_kopfzeilen,0)),
  _xlpm.kurswahl_spalte_q34,INDEX(_xlpm.kurswahl_zeilen,0,MATCH("Q3/4",_xlpm.kurswahl_kopfzeilen,0)),
  _xlpm.erlaubnis_q12,_xlfn.XLOOKUP(_xlpm.spalte_kurs,_xlpm.kurswahl_spalte_kurs,_xlpm.kurswahl_spalte_q12,FALSE)=TRUE,
  _xlpm.erlaubnis_q34,_xlfn.XLOOKUP(_xlpm.spalte_kurs,_xlpm.kurswahl_spalte_kurs,_xlpm.kurswahl_spalte_q34,FALSE)=TRUE,
  _xlpm.eingebracht_q1,($F$4:$F$17=TRUE)*_xlpm.erlaubnis_q12,
  _xlpm.eingebracht_q2,($H$4:$H$17=TRUE)*_xlpm.erlaubnis_q12,
  _xlpm.eingebracht_q3,($J$4:$J$17=TRUE)*_xlpm.erlaubnis_q34,
  _xlpm.eingebracht_q4,($L$4:$L$17=TRUE)*_xlpm.erlaubnis_q34,
  _xlpm.noten_q1,$E$4:$E$17,
  _xlpm.noten_q2,$G$4:$G$17,
  _xlpm.noten_q3,$I$4:$I$17,
  _xlpm.noten_q4,$K$4:$K$17,
  _xlpm.anzahl_null_qualifikationsphase,
    SUMPRODUCT(
      _xlpm.eingebracht_q1*(_xlpm.noten_q1=0)+
      _xlpm.eingebracht_q2*(_xlpm.noten_q2=0)+
      _xlpm.eingebracht_q3*(_xlpm.noten_q3=0)+
      _xlpm.eingebracht_q4*(_xlpm.noten_q4=0)
    ),
  _xlpm.skifahrt_kursname,$G$23,
  _xlpm.skifahrt_kurswahl_kopfzeilen,Kurswahl!$B$3:$G$3,
  _xlpm.skifahrt_kurswahl_zeilen,Kurswahl!$B$4:$G$100,
  _xlpm.skifahrt_kurswahl_spalte_kurs,Kurswahl!$C$4:$C$100,
  _xlpm.skifahrt_kurswahl_spalte_q12,INDEX(_xlpm.skifahrt_kurswahl_zeilen,0,MATCH("Q1/2",_xlpm.skifahrt_kurswahl_kopfzeilen,0)),
  _xlpm.skifahrt_kurswahl_spalte_q34,INDEX(_xlpm.skifahrt_kurswahl_zeilen,0,MATCH("Q3/4",_xlpm.skifahrt_kurswahl_kopfzeilen,0)),
  _xlpm.skifahrt_erlaubnis_q12,_xlfn.XLOOKUP(_xlpm.skifahrt_kursname,_xlpm.skifahrt_kurswahl_spalte_kurs,_xlpm.skifahrt_kurswahl_spalte_q12,FALSE)=TRUE,
  _xlpm.skifahrt_erlaubnis_q34,_xlfn.XLOOKUP(_xlpm.skifahrt_kursname,_xlpm.skifahrt_kurswahl_spalte_kurs,_xlpm.skifahrt_kurswahl_spalte_q34,FALSE)=TRUE,
  _xlpm.skifahrt_erlaubt,OR(_xlpm.skifahrt_erlaubnis_q12,_xlpm.skifahrt_erlaubnis_q34),
  _xlpm.anzahl_null_skifahrt,N((J23=TRUE)*_xlpm.skifahrt_erlaubt*(I23=0)),
  _xlpm.gesamt_null,_xlpm.anzahl_null_qualifikationsphase+_xlpm.anzahl_null_skifahrt,
  _xlpm.gesamt_null=0
)</f>
        <v>1</v>
      </c>
    </row>
    <row r="13" spans="2:17">
      <c r="B13" s="77"/>
      <c r="E13" s="47"/>
      <c r="F13" s="48" t="b">
        <v>0</v>
      </c>
      <c r="G13" s="47"/>
      <c r="H13" s="48" t="b">
        <v>0</v>
      </c>
      <c r="I13" s="85"/>
      <c r="J13" s="86" t="b">
        <v>0</v>
      </c>
      <c r="K13" s="47"/>
      <c r="L13" s="86" t="b">
        <v>0</v>
      </c>
      <c r="O13" s="94" t="s">
        <v>113</v>
      </c>
      <c r="P13" s="99" t="str" cm="1">
        <f t="array" ref="P13">_xlfn.LET(
  _xlpm.ausgefuellt,COUNT($E$19:$E$23)=5,
  _xlpm.pf1_ok,IF(AND($C$30=TRUE,NOT($I$19="")),$I$19&gt;=20,$E$19&gt;=5),
  _xlpm.pf2_ok,IF(AND($C$30=TRUE,NOT($I$20="")),$I$20&gt;=20,$E$20&gt;=5),
  _xlpm.pf3_ok,IF(AND($C$30=TRUE,NOT($I$21="")),$I$21&gt;=20,$E$21&gt;=5),
  _xlpm.pf4_ok,$E$22&gt;=5,
  _xlpm.anz_pf_ge5,N(_xlpm.pf1_ok)+N(_xlpm.pf2_ok)+N(_xlpm.pf3_ok)+N(_xlpm.pf4_ok),
  _xlpm.anz_lk_ge5,N(($D$19="LF")*_xlpm.pf1_ok)+N(($D$20="LF")*_xlpm.pf2_ok)+N(($D$21="LF")*_xlpm.pf3_ok)+N(($D$22="LF")*_xlpm.pf4_ok),
  IF(NOT(_xlpm.ausgefuellt),"AUSFÜLLEN",AND($G$30&gt;=100,_xlpm.anz_pf_ge5&gt;=2,_xlpm.anz_lk_ge5&gt;=1))
)</f>
        <v>AUSFÜLLEN</v>
      </c>
      <c r="Q13" s="74"/>
    </row>
    <row r="14" spans="2:17">
      <c r="B14" s="77"/>
      <c r="E14" s="47"/>
      <c r="F14" s="48" t="b">
        <v>0</v>
      </c>
      <c r="G14" s="47"/>
      <c r="H14" s="48" t="b">
        <v>0</v>
      </c>
      <c r="I14" s="85"/>
      <c r="J14" s="86" t="b">
        <v>0</v>
      </c>
      <c r="K14" s="85"/>
      <c r="L14" s="86" t="b">
        <v>0</v>
      </c>
      <c r="O14" s="94"/>
      <c r="P14" s="99"/>
    </row>
    <row r="15" spans="2:17">
      <c r="B15" s="77"/>
      <c r="E15" s="47"/>
      <c r="F15" s="48" t="b">
        <v>0</v>
      </c>
      <c r="G15" s="47"/>
      <c r="H15" s="48" t="b">
        <v>0</v>
      </c>
      <c r="I15" s="85"/>
      <c r="J15" s="86" t="b">
        <v>0</v>
      </c>
      <c r="K15" s="85"/>
      <c r="L15" s="86" t="b">
        <v>0</v>
      </c>
      <c r="O15" s="7" t="s">
        <v>70</v>
      </c>
    </row>
    <row r="16" spans="2:17">
      <c r="B16" s="77"/>
      <c r="E16" s="47"/>
      <c r="F16" s="48" t="b">
        <v>0</v>
      </c>
      <c r="G16" s="47"/>
      <c r="H16" s="48" t="b">
        <v>0</v>
      </c>
      <c r="I16" s="47"/>
      <c r="J16" s="48" t="b">
        <v>0</v>
      </c>
      <c r="K16" s="47"/>
      <c r="L16" s="48" t="b">
        <v>0</v>
      </c>
      <c r="O16" s="1" t="s">
        <v>114</v>
      </c>
      <c r="P16" s="46" t="b" cm="1">
        <f t="array" ref="P16">_xlfn.LET(
  _xlpm.kopfzeilen,$B$3:$L$3, _xlpm.datenbereich,$B$4:$L$17,
  _xlpm.spalte_kurs,INDEX(_xlpm.datenbereich,0,MATCH("Kurs",_xlpm.kopfzeilen,0)),
  _xlpm.spalte_pf,INDEX(_xlpm.datenbereich,0,MATCH("PF",_xlpm.kopfzeilen,0)),
  _xlpm.semester1,$F$4:$F$17, _xlpm.semester2,$H$4:$H$17, _xlpm.semester3,$J$4:$J$17, _xlpm.semester4,$L$4:$L$17,
  _xlpm.chk_drittes,SUMPRODUCT((_xlpm.spalte_pf="3. PF")*(_xlpm.semester1=TRUE)*(_xlpm.semester2=TRUE)*(_xlpm.semester3=TRUE)*(_xlpm.semester4=TRUE))&gt;0,
  _xlpm.chk_viertes,SUMPRODUCT((_xlpm.spalte_pf="4. PF")*(_xlpm.semester1=TRUE)*(_xlpm.semester2=TRUE)*(_xlpm.semester3=TRUE)*(_xlpm.semester4=TRUE))&gt;0,
  _xlpm.sport_als_3oder4,SUMPRODUCT(((_xlpm.spalte_kurs="Sport")+(_xlpm.spalte_kurs="Sport Theorie")&gt;0)*(((_xlpm.spalte_pf="3. PF")+(_xlpm.spalte_pf="4. PF"))&gt;0))&gt;0,
  OR(AND(_xlpm.chk_drittes,_xlpm.chk_viertes), _xlpm.sport_als_3oder4)
)</f>
        <v>0</v>
      </c>
    </row>
    <row r="17" spans="2:16">
      <c r="B17" s="77"/>
      <c r="E17" s="47"/>
      <c r="F17" s="48" t="b">
        <v>0</v>
      </c>
      <c r="G17" s="47"/>
      <c r="H17" s="48" t="b">
        <v>0</v>
      </c>
      <c r="I17" s="47"/>
      <c r="J17" s="48" t="b">
        <v>0</v>
      </c>
      <c r="K17" s="47"/>
      <c r="L17" s="48" t="b">
        <v>0</v>
      </c>
      <c r="O17" s="100" t="s">
        <v>115</v>
      </c>
      <c r="P17" s="99" t="b" cm="1">
        <f t="array" ref="P17">_xlfn.LET(
  _xlpm.kopfzeilen,$B$3:$L$3, _xlpm.datenbereich,$B$4:$L$17,
  _xlpm.spalte_kurs,INDEX(_xlpm.datenbereich,0,MATCH("Kurs",_xlpm.kopfzeilen,0)),
  _xlpm.spalte_pf,INDEX(_xlpm.datenbereich,0,MATCH("PF",_xlpm.kopfzeilen,0)),
  _xlpm.kursnamen_fuer_abgleich,_xlpm.spalte_kurs,
  _xlpm.kurswahl_kopfzeilen,Kurswahl!$B$3:$G$3,
  _xlpm.kurswahl_zeilen,Kurswahl!$B$4:$G$100,
  _xlpm.kurswahl_spalte_kurs,Kurswahl!$C$4:$C$100,
  _xlpm.kurswahl_spalte_q12,INDEX(_xlpm.kurswahl_zeilen,0,MATCH("Q1/2",_xlpm.kurswahl_kopfzeilen,0)),
  _xlpm.kurswahl_spalte_q34,INDEX(_xlpm.kurswahl_zeilen,0,MATCH("Q3/4",_xlpm.kurswahl_kopfzeilen,0)),
  _xlpm.erlaubnis_q12,_xlfn.XLOOKUP(_xlpm.kursnamen_fuer_abgleich,_xlpm.kurswahl_spalte_kurs,_xlpm.kurswahl_spalte_q12,FALSE)=TRUE,
  _xlpm.erlaubnis_q34,_xlfn.XLOOKUP(_xlpm.kursnamen_fuer_abgleich,_xlpm.kurswahl_spalte_kurs,_xlpm.kurswahl_spalte_q34,FALSE)=TRUE,
  _xlpm.check_q1,$F$4:$F$17=TRUE, _xlpm.check_q2,$H$4:$H$17=TRUE, _xlpm.check_q3,$J$4:$J$17=TRUE, _xlpm.check_q4,$L$4:$L$17=TRUE,
  _xlpm.wertlinks_q1,$E$4:$E$17&lt;&gt;0, _xlpm.wertlinks_q2,$G$4:$G$17&lt;&gt;0, _xlpm.wertlinks_q3,$I$4:$I$17&lt;&gt;0, _xlpm.wertlinks_q4,$K$4:$K$17&lt;&gt;0,
  _xlpm.beitrag_q1,_xlpm.check_q1*_xlpm.erlaubnis_q12*_xlpm.wertlinks_q1,
  _xlpm.beitrag_q2,_xlpm.check_q2*_xlpm.erlaubnis_q12*_xlpm.wertlinks_q2,
  _xlpm.beitrag_q3,_xlpm.check_q3*_xlpm.erlaubnis_q34*_xlpm.wertlinks_q3,
  _xlpm.beitrag_q4,_xlpm.check_q4*_xlpm.erlaubnis_q34*_xlpm.wertlinks_q4,
  _xlpm.sport_ist_pf,SUMPRODUCT(((_xlpm.spalte_pf="LF")+(_xlpm.spalte_pf="3. PF")+(_xlpm.spalte_pf="4. PF")&gt;0)*(((_xlpm.spalte_kurs="Sport")+(_xlpm.spalte_kurs="Sport Theorie"))&gt;0))&gt;0,
  _xlpm.theorie_eingebracht,SUMPRODUCT((_xlpm.spalte_kurs="Sport Theorie")*(_xlpm.beitrag_q1+_xlpm.beitrag_q2+_xlpm.beitrag_q3+_xlpm.beitrag_q4)),
  _xlpm.praxis_eingebracht,SUMPRODUCT((_xlpm.spalte_kurs="Sport")*(_xlpm.beitrag_q1+_xlpm.beitrag_q2+_xlpm.beitrag_q3+_xlpm.beitrag_q4)),
  _xlpm.skifahrt_kursname,$G$23, _xlpm.skifahrt_checkbox,$J$23=TRUE, _xlpm.skifahrt_wertlinks,$I$23&lt;&gt;0,
  _xlpm.skifahrt_q12,_xlfn.XLOOKUP(_xlpm.skifahrt_kursname,_xlpm.kurswahl_spalte_kurs,_xlpm.kurswahl_spalte_q12,FALSE)=TRUE,
  _xlpm.skifahrt_q34,_xlfn.XLOOKUP(_xlpm.skifahrt_kursname,_xlpm.kurswahl_spalte_kurs,_xlpm.kurswahl_spalte_q34,FALSE)=TRUE,
  _xlpm.skifahrt_erlaubt,OR(_xlpm.skifahrt_q12,_xlpm.skifahrt_q34),
  _xlpm.praxis_inkl_skifahrt,_xlpm.praxis_eingebracht+N(_xlpm.skifahrt_checkbox*_xlpm.skifahrt_wertlinks*_xlpm.skifahrt_erlaubt),
  _xlpm.gesamt_sport,_xlpm.theorie_eingebracht+_xlpm.praxis_inkl_skifahrt,
  IF(_xlpm.sport_ist_pf,AND(_xlpm.theorie_eingebracht&gt;=1,_xlpm.praxis_inkl_skifahrt&gt;=3,_xlpm.gesamt_sport&lt;=5),TRUE)
)</f>
        <v>1</v>
      </c>
    </row>
    <row r="18" spans="2:16">
      <c r="B18" s="77"/>
      <c r="C18" s="7" t="s">
        <v>19</v>
      </c>
      <c r="D18" s="7" t="s">
        <v>66</v>
      </c>
      <c r="E18" s="7" t="s">
        <v>116</v>
      </c>
      <c r="G18" s="7" t="s">
        <v>117</v>
      </c>
      <c r="I18" s="7"/>
      <c r="O18" s="100"/>
      <c r="P18" s="99"/>
    </row>
    <row r="19" spans="2:16">
      <c r="B19" s="77" t="s">
        <v>118</v>
      </c>
      <c r="C19" s="19" t="str" cm="1">
        <f t="array" ref="C19">_xlfn.LET(
  _xlpm.Tabelle, Kurswahl!B4:G34,
  _xlpm.Koepfe,  Kurswahl!B3:G3,
  _xlpm.idxKurs, MATCH("Kurs", _xlpm.Koepfe, 0),
  _xlpm.idxPF,   MATCH("PF",   _xlpm.Koepfe, 0),
  _xlpm.KursSp,  INDEX(_xlpm.Tabelle,, _xlpm.idxKurs),
  _xlpm.PF_Roh,  INDEX(_xlpm.Tabelle,, _xlpm.idxPF),
  _xlpm.PF,      SUBSTITUTE(CLEAN(TRIM(_xlpm.PF_Roh)), CHAR(160), ""),
  _xlpm.MaskePF, _xlpm.PF&lt;&gt;"",
  _xlpm.KursF,   _xlfn._xlws.FILTER(_xlpm.KursSp, _xlpm.MaskePF),
  _xlpm.PFF,     _xlfn._xlws.FILTER(_xlpm.PF, _xlpm.MaskePF),
  _xlpm.RowIdx,  _xlfn._xlws.FILTER(ROW(_xlpm.KursSp), _xlpm.MaskePF),
  _xlpm.ok, AND(
        SUMPRODUCT(--(LEFT(_xlpm.PF,2)="LF"))=2,
        SUMPRODUCT(--(LEFT(_xlpm.PF,5)="3. PF"))=1,
        SUMPRODUCT(--(LEFT(_xlpm.PF,5)="4. PF"))=1,
        SUMPRODUCT(--(LEFT(_xlpm.PF,5)="5. PK"))=1
      ),
  _xlpm.KursF_adj, IF((_xlpm.KursF="Sport")*(((LEFT(_xlpm.PFF,5)="3. PF")+(LEFT(_xlpm.PFF,5)="4. PF"))&gt;0),"Sport*",_xlpm.KursF),
  _xlpm.SortKey, _xlfn.IFS(
             LEFT(_xlpm.PFF,2)="LF",     1,
             LEFT(_xlpm.PFF,5)="3. PF",  2,
             LEFT(_xlpm.PFF,5)="4. PF",  3,
             LEFT(_xlpm.PFF,5)="5. PK",  4
           ),
  _xlpm.Ausgabe, _xlfn.SORTBY(_xlfn.HSTACK(_xlpm.KursF_adj, _xlpm.PFF), _xlpm.SortKey, 1, _xlpm.RowIdx, 1),
  IF(_xlpm.ok, _xlpm.Ausgabe, "")
)</f>
        <v/>
      </c>
      <c r="D19" s="14"/>
      <c r="E19" s="37"/>
      <c r="F19" s="35" t="s">
        <v>119</v>
      </c>
      <c r="G19" s="68"/>
      <c r="H19" s="89"/>
      <c r="I19" s="68"/>
      <c r="J19" s="67"/>
      <c r="K19" s="67"/>
      <c r="L19" s="65"/>
      <c r="O19" s="1" t="s">
        <v>120</v>
      </c>
      <c r="P19" s="35" t="b" cm="1">
        <f t="array" ref="P19">_xlfn.LET(
  _xlpm.kopfzeilen,$B$3:$L$3, _xlpm.datenbereich,$B$4:$L$17,
  _xlpm.spalte_kurs,INDEX(_xlpm.datenbereich,0,MATCH("Kurs",_xlpm.kopfzeilen,0)),
  _xlpm.spalte_pf,INDEX(_xlpm.datenbereich,0,MATCH("PF",_xlpm.kopfzeilen,0)),
  _xlpm.semester4,$L$4:$L$17,
  _xlpm.q4_ref_5pk,SUMPRODUCT((_xlpm.spalte_pf="5. PK")*(_xlpm.semester4=TRUE))&gt;0,
  _xlpm.sport_als_5pk,SUMPRODUCT(((_xlpm.spalte_kurs="Sport")+(_xlpm.spalte_kurs="Sport Theorie")&gt;0)*(_xlpm.spalte_pf="5. PK"))&gt;0,
  OR(_xlpm.q4_ref_5pk, _xlpm.sport_als_5pk)
)</f>
        <v>0</v>
      </c>
    </row>
    <row r="20" spans="2:16">
      <c r="B20" s="77"/>
      <c r="C20" s="12"/>
      <c r="E20" s="38"/>
      <c r="F20" s="35" t="s">
        <v>119</v>
      </c>
      <c r="G20" s="68"/>
      <c r="H20" s="89"/>
      <c r="I20" s="68"/>
      <c r="J20" s="67"/>
      <c r="K20" s="67"/>
      <c r="L20" s="65"/>
      <c r="O20" s="94" t="s">
        <v>121</v>
      </c>
      <c r="P20" s="99" t="b" cm="1">
        <f t="array" ref="P20">_xlfn.LET(
  _xlpm.kopfzeilen,$B$3:$L$3, _xlpm.datenbereich,$B$4:$L$17,
  _xlpm.spalte_kurs,INDEX(_xlpm.datenbereich,0,MATCH("Kurs",_xlpm.kopfzeilen,0)),
  _xlpm.spalte_pf,INDEX(_xlpm.datenbereich,0,MATCH("PF",_xlpm.kopfzeilen,0)),
  _xlpm.kursnamen_fuer_abgleich,_xlpm.spalte_kurs,
  _xlpm.kurswahl_kopfzeilen,Kurswahl!$B$3:$G$3,
  _xlpm.kurswahl_zeilen,Kurswahl!$B$4:$G$100,
  _xlpm.kurswahl_spalte_kurs,Kurswahl!$C$4:$C$100,
  _xlpm.kurswahl_spalte_q12,INDEX(_xlpm.kurswahl_zeilen,0,MATCH("Q1/2",_xlpm.kurswahl_kopfzeilen,0)),
  _xlpm.kurswahl_spalte_q34,INDEX(_xlpm.kurswahl_zeilen,0,MATCH("Q3/4",_xlpm.kurswahl_kopfzeilen,0)),
  _xlpm.erlaubnis_q12,_xlfn.XLOOKUP(_xlpm.kursnamen_fuer_abgleich,_xlpm.kurswahl_spalte_kurs,_xlpm.kurswahl_spalte_q12,FALSE)=TRUE,
  _xlpm.erlaubnis_q34,_xlfn.XLOOKUP(_xlpm.kursnamen_fuer_abgleich,_xlpm.kurswahl_spalte_kurs,_xlpm.kurswahl_spalte_q34,FALSE)=TRUE,
  _xlpm.check_q1,$F$4:$F$17=TRUE, _xlpm.check_q2,$H$4:$H$17=TRUE, _xlpm.check_q3,$J$4:$J$17=TRUE, _xlpm.check_q4,$L$4:$L$17=TRUE,
  _xlpm.wertlinks_q1,$E$4:$E$17&lt;&gt;0, _xlpm.wertlinks_q2,$G$4:$G$17&lt;&gt;0, _xlpm.wertlinks_q3,$I$4:$I$17&lt;&gt;0, _xlpm.wertlinks_q4,$K$4:$K$17&lt;&gt;0,
  _xlpm.beitrag_q1,_xlpm.check_q1*_xlpm.erlaubnis_q12*_xlpm.wertlinks_q1,
  _xlpm.beitrag_q2,_xlpm.check_q2*_xlpm.erlaubnis_q12*_xlpm.wertlinks_q2,
  _xlpm.beitrag_q3,_xlpm.check_q3*_xlpm.erlaubnis_q34*_xlpm.wertlinks_q3,
  _xlpm.beitrag_q4,_xlpm.check_q4*_xlpm.erlaubnis_q34*_xlpm.wertlinks_q4,
  _xlpm.sport_ist_pk5,SUMPRODUCT((((_xlpm.spalte_kurs="Sport")+(_xlpm.spalte_kurs="Sport Theorie"))&gt;0)*(_xlpm.spalte_pf="5. PK"))&gt;0,
  _xlpm.theorie_q4_muss,SUMPRODUCT((_xlpm.spalte_kurs="Sport Theorie")*_xlpm.beitrag_q4)&gt;0,
  _xlpm.theorie_gesamt,SUMPRODUCT((_xlpm.spalte_kurs="Sport Theorie")*(_xlpm.beitrag_q1+_xlpm.beitrag_q2+_xlpm.beitrag_q3+_xlpm.beitrag_q4)),
  _xlpm.praxis_gesamt,SUMPRODUCT((_xlpm.spalte_kurs="Sport")*(_xlpm.beitrag_q1+_xlpm.beitrag_q2+_xlpm.beitrag_q3+_xlpm.beitrag_q4)),
  _xlpm.skifahrt_kursname,$G$23, _xlpm.skifahrt_checkbox,$J$23=TRUE, _xlpm.skifahrt_wertlinks,$I$23&lt;&gt;0,
  _xlpm.skifahrt_q12,_xlfn.XLOOKUP(_xlpm.skifahrt_kursname,_xlpm.kurswahl_spalte_kurs,_xlpm.kurswahl_spalte_q12,FALSE)=TRUE,
  _xlpm.skifahrt_q34,_xlfn.XLOOKUP(_xlpm.skifahrt_kursname,_xlpm.kurswahl_spalte_kurs,_xlpm.kurswahl_spalte_q34,FALSE)=TRUE,
  _xlpm.skifahrt_erlaubt,OR(_xlpm.skifahrt_q12,_xlpm.skifahrt_q34),
  _xlpm.praxis_gesamt_inkl,_xlpm.praxis_gesamt+N(_xlpm.skifahrt_checkbox*_xlpm.skifahrt_wertlinks*_xlpm.skifahrt_erlaubt),
  _xlpm.gesamt_sport,_xlpm.theorie_gesamt+_xlpm.praxis_gesamt_inkl,
  IF(_xlpm.sport_ist_pk5,AND(_xlpm.theorie_q4_muss,_xlpm.gesamt_sport&lt;=5,_xlpm.theorie_gesamt&lt;=2),TRUE)
)</f>
        <v>1</v>
      </c>
    </row>
    <row r="21" spans="2:16">
      <c r="B21" s="77"/>
      <c r="C21" s="12"/>
      <c r="E21" s="38"/>
      <c r="F21" s="35" t="s">
        <v>119</v>
      </c>
      <c r="G21" s="35"/>
      <c r="H21" s="89"/>
      <c r="I21" s="35"/>
      <c r="O21" s="94"/>
      <c r="P21" s="99"/>
    </row>
    <row r="22" spans="2:16">
      <c r="B22" s="77"/>
      <c r="C22" s="12"/>
      <c r="E22" s="38"/>
      <c r="G22" s="34" t="s">
        <v>122</v>
      </c>
      <c r="O22" s="1" t="s">
        <v>123</v>
      </c>
      <c r="P22" s="35" t="b">
        <f>COUNTBLANK(G19:G21)&gt;0</f>
        <v>1</v>
      </c>
    </row>
    <row r="23" spans="2:16">
      <c r="B23" s="77"/>
      <c r="C23" s="18"/>
      <c r="D23" s="17"/>
      <c r="E23" s="39"/>
      <c r="G23" s="96" t="s">
        <v>52</v>
      </c>
      <c r="H23" s="96"/>
      <c r="I23" s="35"/>
      <c r="J23" s="2" t="b">
        <v>0</v>
      </c>
      <c r="O23" s="7" t="s">
        <v>81</v>
      </c>
    </row>
    <row r="24" spans="2:16">
      <c r="O24" s="1" t="s">
        <v>124</v>
      </c>
      <c r="P24" s="46" t="b" cm="1">
        <f t="array" ref="P24">_xlfn.LET(
  _xlpm.kopfzeilen,$B$3:$L$3,
  _xlpm.datenbereich,$B$4:$L$17,
  _xlpm.spalte_kurs,INDEX(_xlpm.datenbereich,0,MATCH("Kurs",_xlpm.kopfzeilen,0)),
  _xlpm.semester1,$F$4:$F$17, _xlpm.semester2,$H$4:$H$17, _xlpm.semester3,$J$4:$J$17, _xlpm.semester4,$L$4:$L$17,
  SUMPRODUCT((_xlpm.spalte_kurs="Deutsch")*(_xlpm.semester1=TRUE)*(_xlpm.semester2=TRUE)*(_xlpm.semester3=TRUE)*(_xlpm.semester4=TRUE))&gt;0
)</f>
        <v>0</v>
      </c>
    </row>
    <row r="25" spans="2:16">
      <c r="B25" s="4" t="s">
        <v>125</v>
      </c>
      <c r="C25" s="3"/>
      <c r="D25" s="3"/>
      <c r="E25" s="3"/>
      <c r="F25" s="3"/>
      <c r="G25" s="3"/>
      <c r="H25" s="3"/>
      <c r="I25" s="3"/>
      <c r="J25" s="3"/>
      <c r="K25" s="3"/>
      <c r="L25" s="3"/>
      <c r="O25" s="1" t="s">
        <v>126</v>
      </c>
      <c r="P25" s="35" t="b" cm="1">
        <f t="array" ref="P25">_xlfn.LET(
  _xlpm.kopfzeilen,$B$3:$L$3, _xlpm.datenbereich,$B$4:$L$17,
  _xlpm.spalte_kurs,INDEX(_xlpm.datenbereich,0,MATCH("Kurs",_xlpm.kopfzeilen,0)),
  _xlpm.kurswahl_kopfzeilen,Kurswahl!$B$3:$G$3,
  _xlpm.kurswahl_zeilen,Kurswahl!$B$4:$G$100,
  _xlpm.kurswahl_spalte_kurs,Kurswahl!$C$4:$C$100,
  _xlpm.kurswahl_spalte_q12,INDEX(_xlpm.kurswahl_zeilen,0,MATCH("Q1/2",_xlpm.kurswahl_kopfzeilen,0)),
  _xlpm.kurswahl_spalte_q34,INDEX(_xlpm.kurswahl_zeilen,0,MATCH("Q3/4",_xlpm.kurswahl_kopfzeilen,0)),
  _xlpm.erlaubnis_q12,_xlfn.XLOOKUP(_xlpm.spalte_kurs,_xlpm.kurswahl_spalte_kurs,_xlpm.kurswahl_spalte_q12,FALSE)=TRUE,
  _xlpm.erlaubnis_q34,_xlfn.XLOOKUP(_xlpm.spalte_kurs,_xlpm.kurswahl_spalte_kurs,_xlpm.kurswahl_spalte_q34,FALSE)=TRUE,
  _xlpm.gueltig_q1,($F$4:$F$17=TRUE)*_xlpm.erlaubnis_q12*($E$4:$E$17&lt;&gt;0),
  _xlpm.gueltig_q2,($H$4:$H$17=TRUE)*_xlpm.erlaubnis_q12*($G$4:$G$17&lt;&gt;0),
  _xlpm.gueltig_q3,($J$4:$J$17=TRUE)*_xlpm.erlaubnis_q34*($I$4:$I$17&lt;&gt;0),
  _xlpm.gueltig_q4,($L$4:$L$17=TRUE)*_xlpm.erlaubnis_q34*($K$4:$K$17&lt;&gt;0),
  _xlpm.kurse_kopf,'Angebotene Kurse'!$B$3:$G$3, _xlpm.kurse_daten,'Angebotene Kurse'!$B$4:$G$1002,
  _xlpm.fs_kurse,_xlfn._xlws.FILTER(INDEX(_xlpm.kurse_daten,0,MATCH("Kurs",_xlpm.kurse_kopf,0)),INDEX(_xlpm.kurse_daten,0,MATCH("Typ",_xlpm.kurse_kopf,0))="Fremdsprache"),
  SUMPRODUCT(ISNUMBER(MATCH(_xlpm.spalte_kurs,_xlpm.fs_kurse,0))*(_xlpm.gueltig_q1*_xlpm.gueltig_q2*_xlpm.gueltig_q3*_xlpm.gueltig_q4))&gt;0
)</f>
        <v>0</v>
      </c>
    </row>
    <row r="26" spans="2:16">
      <c r="B26" s="77" t="s">
        <v>127</v>
      </c>
      <c r="C26" s="43" cm="1">
        <f t="array" ref="C26">IFERROR(
  G26 /
  _xlfn.LET(
    _xlpm.kopfzeilen,$B$3:$L$3, _xlpm.datenbereich,$B$4:$L$17,
    _xlpm.spalte_kurs,INDEX(_xlpm.datenbereich,0,MATCH("Kurs",_xlpm.kopfzeilen,0)),
    _xlpm.kurswahl_kopfzeilen,Kurswahl!$B$3:$G$3, _xlpm.kurswahl_zeilen,Kurswahl!$B$4:$G$100,
    _xlpm.kurswahl_spalte_kurs,Kurswahl!$C$4:$C$100,
    _xlpm.kurswahl_spalte_q12,INDEX(_xlpm.kurswahl_zeilen,0,MATCH("Q1/2",_xlpm.kurswahl_kopfzeilen,0)),
    _xlpm.kurswahl_spalte_q34,INDEX(_xlpm.kurswahl_zeilen,0,MATCH("Q3/4",_xlpm.kurswahl_kopfzeilen,0)),
    _xlpm.erlaubnis_q12,_xlfn.XLOOKUP(_xlpm.spalte_kurs,_xlpm.kurswahl_spalte_kurs,_xlpm.kurswahl_spalte_q12,FALSE)=TRUE,
    _xlpm.erlaubnis_q34,_xlfn.XLOOKUP(_xlpm.spalte_kurs,_xlpm.kurswahl_spalte_kurs,_xlpm.kurswahl_spalte_q34,FALSE)=TRUE,
    _xlpm.gueltig_q1,($F$4:$F$17=TRUE)*_xlpm.erlaubnis_q12*($E$4:$E$17&lt;&gt;0),
    _xlpm.gueltig_q2,($H$4:$H$17=TRUE)*_xlpm.erlaubnis_q12*($G$4:$G$17&lt;&gt;0),
    _xlpm.gueltig_q3,($J$4:$J$17=TRUE)*_xlpm.erlaubnis_q34*($I$4:$I$17&lt;&gt;0),
    _xlpm.gueltig_q4,($L$4:$L$17=TRUE)*_xlpm.erlaubnis_q34*($K$4:$K$17&lt;&gt;0),
    _xlpm.gewicht_lk,(1+($D$4:$D$17="LF")),
    _xlpm.anzahl_semester,SUMPRODUCT( (_xlpm.gueltig_q1+_xlpm.gueltig_q2+_xlpm.gueltig_q3+_xlpm.gueltig_q4) * _xlpm.gewicht_lk ),
    _xlpm.skifahrt_kursname,$G$23, _xlpm.skifahrt_checkbox,$J$23=TRUE, _xlpm.skifahrt_wertlinks,$I$23&lt;&gt;0,
    _xlpm.skifahrt_q12,_xlfn.XLOOKUP(_xlpm.skifahrt_kursname,_xlpm.kurswahl_spalte_kurs,_xlpm.kurswahl_spalte_q12,FALSE)=TRUE,
    _xlpm.skifahrt_q34,_xlfn.XLOOKUP(_xlpm.skifahrt_kursname,_xlpm.kurswahl_spalte_kurs,_xlpm.kurswahl_spalte_q34,FALSE)=TRUE,
    _xlpm.skifahrt_erlaubt,OR(_xlpm.skifahrt_q12,_xlpm.skifahrt_q34),
    _xlpm.anzahl_semester + N(_xlpm.skifahrt_checkbox*_xlpm.skifahrt_wertlinks*_xlpm.skifahrt_erlaubt) + COUNTA(E19:E23)*4
  ),0)</f>
        <v>12</v>
      </c>
      <c r="D26" s="7" t="s">
        <v>128</v>
      </c>
      <c r="G26" s="59" cm="1">
        <f t="array" ref="G26">$G$30+
_xlfn.LET(
  _xlpm.kopfzeilen,$B$3:$L$3, _xlpm.datenbereich,$B$4:$L$17,
  _xlpm.spalte_kurs,INDEX(_xlpm.datenbereich,0,MATCH("Kurs",_xlpm.kopfzeilen,0)),
  _xlpm.kurswahl_kopfzeilen,Kurswahl!$B$3:$G$3, _xlpm.kurswahl_zeilen,Kurswahl!$B$4:$G$100,
  _xlpm.kurswahl_spalte_kurs,Kurswahl!$C$4:$C$100,
  _xlpm.kurswahl_spalte_q12,INDEX(_xlpm.kurswahl_zeilen,0,MATCH("Q1/2",_xlpm.kurswahl_kopfzeilen,0)),
  _xlpm.kurswahl_spalte_q34,INDEX(_xlpm.kurswahl_zeilen,0,MATCH("Q3/4",_xlpm.kurswahl_kopfzeilen,0)),
  _xlpm.erlaubnis_q12,_xlfn.XLOOKUP(_xlpm.spalte_kurs,_xlpm.kurswahl_spalte_kurs,_xlpm.kurswahl_spalte_q12,FALSE)=TRUE,
  _xlpm.erlaubnis_q34,_xlfn.XLOOKUP(_xlpm.spalte_kurs,_xlpm.kurswahl_spalte_kurs,_xlpm.kurswahl_spalte_q34,FALSE)=TRUE,
  _xlpm.gueltig_q1,($F$4:$F$17=TRUE)*_xlpm.erlaubnis_q12*($E$4:$E$17&lt;&gt;0),
  _xlpm.gueltig_q2,($H$4:$H$17=TRUE)*_xlpm.erlaubnis_q12*($G$4:$G$17&lt;&gt;0),
  _xlpm.gueltig_q3,($J$4:$J$17=TRUE)*_xlpm.erlaubnis_q34*($I$4:$I$17&lt;&gt;0),
  _xlpm.gueltig_q4,($L$4:$L$17=TRUE)*_xlpm.erlaubnis_q34*($K$4:$K$17&lt;&gt;0),
  _xlpm.gewicht_lk,(1+($D$4:$D$17="LF")),
  _xlpm.summe_regel,SUMPRODUCT( ($E$4:$E$17*_xlpm.gueltig_q1 + $G$4:$G$17*_xlpm.gueltig_q2 + $I$4:$I$17*_xlpm.gueltig_q3 + $K$4:$K$17*_xlpm.gueltig_q4) * _xlpm.gewicht_lk ),
  _xlpm.skifahrt_kursname,$G$23, _xlpm.skifahrt_checkbox,$J$23=TRUE, _xlpm.skifahrt_wertlinks,$I$23&lt;&gt;0,
  _xlpm.skifahrt_q12,_xlfn.XLOOKUP(_xlpm.skifahrt_kursname,_xlpm.kurswahl_spalte_kurs,_xlpm.kurswahl_spalte_q12,FALSE)=TRUE,
  _xlpm.skifahrt_q34,_xlfn.XLOOKUP(_xlpm.skifahrt_kursname,_xlpm.kurswahl_spalte_kurs,_xlpm.kurswahl_spalte_q34,FALSE)=TRUE,
  _xlpm.skifahrt_erlaubt,OR(_xlpm.skifahrt_q12,_xlpm.skifahrt_q34),
  _xlpm.skifahrt_punkte,$I$23*N(_xlpm.skifahrt_checkbox*_xlpm.skifahrt_wertlinks*_xlpm.skifahrt_erlaubt),
  _xlpm.summe_regel+_xlpm.skifahrt_punkte
)</f>
        <v>24</v>
      </c>
      <c r="I26" s="70"/>
      <c r="O26" s="1" t="s">
        <v>129</v>
      </c>
      <c r="P26" s="46" t="b" cm="1">
        <f t="array" ref="P26">_xlfn.LET(
  _xlpm.kopfzeilen,$B$3:$L$3, _xlpm.datenbereich,$B$4:$L$17,
  _xlpm.spalte_kurs,INDEX(_xlpm.datenbereich,0,MATCH("Kurs",_xlpm.kopfzeilen,0)),
  _xlpm.kurswahl_kopfzeilen,Kurswahl!$B$3:$G$3,
  _xlpm.kurswahl_zeilen,Kurswahl!$B$4:$G$100,
  _xlpm.kurswahl_spalte_kurs,Kurswahl!$C$4:$C$100,
  _xlpm.kurswahl_spalte_q12,INDEX(_xlpm.kurswahl_zeilen,0,MATCH("Q1/2",_xlpm.kurswahl_kopfzeilen,0)),
  _xlpm.kurswahl_spalte_q34,INDEX(_xlpm.kurswahl_zeilen,0,MATCH("Q3/4",_xlpm.kurswahl_kopfzeilen,0)),
  _xlpm.erlaubnis_q12,_xlfn.XLOOKUP(_xlpm.spalte_kurs,_xlpm.kurswahl_spalte_kurs,_xlpm.kurswahl_spalte_q12,FALSE)=TRUE,
  _xlpm.erlaubnis_q34,_xlfn.XLOOKUP(_xlpm.spalte_kurs,_xlpm.kurswahl_spalte_kurs,_xlpm.kurswahl_spalte_q34,FALSE)=TRUE,
  _xlpm.gueltig_q1,($F$4:$F$17=TRUE)*_xlpm.erlaubnis_q12*($E$4:$E$17&lt;&gt;0),
  _xlpm.gueltig_q2,($G$4:$H$17=TRUE)*_xlpm.erlaubnis_q12*($G$4:$G$17&lt;&gt;0),
  _xlpm.gueltig_q3,($J$4:$J$17=TRUE)*_xlpm.erlaubnis_q34*($H$4:$I$17&lt;&gt;0),
  _xlpm.gueltig_q4,($L$4:$L$17=TRUE)*_xlpm.erlaubnis_q34*($K$4:$K$17&lt;&gt;0),
  _xlpm.anzahl_gueltig_pro_zeile,_xlpm.gueltig_q1+_xlpm.gueltig_q2+_xlpm.gueltig_q3+_xlpm.gueltig_q4,
  _xlpm.kurse_kopf,'Angebotene Kurse'!$B$3:$G$3, _xlpm.kurse_daten,'Angebotene Kurse'!$B$4:$G$1002,
  _xlpm.kunst_kurse,_xlfn._xlws.FILTER(INDEX(_xlpm.kurse_daten,0,MATCH("Kurs",_xlpm.kurse_kopf,0)),INDEX(_xlpm.kurse_daten,0,MATCH("Typ",_xlpm.kurse_kopf,0))="Künstlerisch"),
  SUMPRODUCT(ISNUMBER(MATCH(_xlpm.spalte_kurs,_xlpm.kunst_kurse,0))*(_xlpm.anzahl_gueltig_pro_zeile&gt;=2))&gt;0
)</f>
        <v>0</v>
      </c>
    </row>
    <row r="27" spans="2:16" ht="15" customHeight="1">
      <c r="B27" s="97" t="s">
        <v>125</v>
      </c>
      <c r="C27" s="98">
        <f>TRUNC((17/3-C26/3)*10, 0)/10</f>
        <v>1.6</v>
      </c>
      <c r="D27" s="19" t="s">
        <v>130</v>
      </c>
      <c r="E27" s="14"/>
      <c r="F27" s="14"/>
      <c r="G27" s="60">
        <f>G26-G30</f>
        <v>24</v>
      </c>
      <c r="O27" s="7" t="s">
        <v>85</v>
      </c>
    </row>
    <row r="28" spans="2:16" ht="15.75" customHeight="1">
      <c r="B28" s="97"/>
      <c r="C28" s="98"/>
      <c r="D28" s="58" t="s">
        <v>131</v>
      </c>
      <c r="G28" s="61" cm="1">
        <f t="array" ref="G28">SUMPRODUCT(
   (D4:D17="LF") *
   ( E4:E17
    +G4:G17
    +I4:I17
    +K4:K17 )
)*2</f>
        <v>0</v>
      </c>
      <c r="O28" s="72" t="s">
        <v>132</v>
      </c>
      <c r="P28" s="41" t="b" cm="1">
        <f t="array" ref="P28">_xlfn.LET(
  _xlpm.notenrechner_Kopfzeile,$B$3:$L$3,
  _xlpm.notenrechner_Datenbereich,$B$4:$L$17,
  _xlpm.notenrechner_KursnamenSpalte,INDEX(_xlpm.notenrechner_Datenbereich,0,MATCH("Kurs",_xlpm.notenrechner_Kopfzeile,0)),
  _xlpm.kurswahl_Kopfzeile,Kurswahl!$B$3:$G$3,
  _xlpm.kurswahl_Datenbereich,Kurswahl!$B$4:$G$100,
  _xlpm.kurswahl_KursnamenSpalte,Kurswahl!$C$4:$C$100,
  _xlpm.kurswahl_BelegungSpalte_Q12,INDEX(_xlpm.kurswahl_Datenbereich,0,MATCH("Q1/2",_xlpm.kurswahl_Kopfzeile,0)),
  _xlpm.kurswahl_BelegungSpalte_Q34,INDEX(_xlpm.kurswahl_Datenbereich,0,MATCH("Q3/4",_xlpm.kurswahl_Kopfzeile,0)),
  _xlpm.notenrechner_BelegungErlaubt_Q12,_xlfn.XLOOKUP(_xlpm.notenrechner_KursnamenSpalte,_xlpm.kurswahl_KursnamenSpalte,_xlpm.kurswahl_BelegungSpalte_Q12,FALSE)=TRUE,
  _xlpm.notenrechner_BelegungErlaubt_Q34,_xlfn.XLOOKUP(_xlpm.notenrechner_KursnamenSpalte,_xlpm.kurswahl_KursnamenSpalte,_xlpm.kurswahl_BelegungSpalte_Q34,FALSE)=TRUE,
  _xlpm.notenrechner_Einbringung_Halbjahr_Eins,($F$4:$F$17=TRUE)*_xlpm.notenrechner_BelegungErlaubt_Q12*($E$4:$E$17&lt;&gt;0),
  _xlpm.notenrechner_Einbringung_Halbjahr_Zwei,($H$4:$H$17=TRUE)*_xlpm.notenrechner_BelegungErlaubt_Q12*($G$4:$G$17&lt;&gt;0),
  _xlpm.notenrechner_Einbringung_Halbjahr_Drei,($J$4:$J$17=TRUE)*_xlpm.notenrechner_BelegungErlaubt_Q34*($I$4:$I$17&lt;&gt;0),
  _xlpm.notenrechner_Einbringung_Halbjahr_Vier,($L$4:$L$17=TRUE)*_xlpm.notenrechner_BelegungErlaubt_Q34*($K$4:$K$17&lt;&gt;0),
  _xlpm.notenrechner_DurchgaengigEingebracht,_xlpm.notenrechner_Einbringung_Halbjahr_Eins*_xlpm.notenrechner_Einbringung_Halbjahr_Zwei*_xlpm.notenrechner_Einbringung_Halbjahr_Drei*_xlpm.notenrechner_Einbringung_Halbjahr_Vier,
  _xlpm.notenrechner_ZeilenIndex,ROW($B$4:$B$17),
  _xlpm.notenrechner_Start_ZweitesAufgabenfeld,_xlfn.AGGREGATE(15,6,_xlpm.notenrechner_ZeilenIndex/($B$4:$B$17="2. Aufgabenfeld"),1),
  _xlpm.notenrechner_Start_DrittesAufgabenfeld,IFERROR(_xlfn.AGGREGATE(15,6,_xlpm.notenrechner_ZeilenIndex/($B$4:$B$17="3. Aufgabenfeld"),1),ROW($B$17)+1),
  _xlpm.notenrechner_ImZweitenAufgabenfeld,(_xlpm.notenrechner_ZeilenIndex&gt;=_xlpm.notenrechner_Start_ZweitesAufgabenfeld)*(_xlpm.notenrechner_ZeilenIndex&lt;_xlpm.notenrechner_Start_DrittesAufgabenfeld),
  _xlpm.output,SUMPRODUCT(_xlpm.notenrechner_ImZweitenAufgabenfeld*_xlpm.notenrechner_DurchgaengigEingebracht)&gt;0,
  IFERROR(_xlpm.output,FALSE)
)</f>
        <v>0</v>
      </c>
    </row>
    <row r="29" spans="2:16" ht="15" customHeight="1">
      <c r="B29" s="78" t="s">
        <v>133</v>
      </c>
      <c r="C29" s="69" t="str" cm="1">
        <f t="array" ref="C29">_xlfn.LET(
  _xlpm.punkte, ROUND(((180*((17/3)-C27))-G26)+1,0),
  _xlpm.invalidCount, N(AND(($P$4:$P$50="") + ISNUMBER(SEARCH("WAHR",$P$4:$P$50)) &gt; 0)),
  IF(
    _xlpm.invalidCount=1,
    "+" &amp; _xlpm.punkte &amp; " Pkt.",
    ""
  )
)</f>
        <v/>
      </c>
      <c r="D29" s="58" t="s">
        <v>134</v>
      </c>
      <c r="G29" s="62">
        <f>G27-G28</f>
        <v>24</v>
      </c>
      <c r="O29" s="1" t="s">
        <v>135</v>
      </c>
      <c r="P29" s="1" t="b" cm="1">
        <f t="array" ref="P29">_xlfn.LET(
  _xlpm.notenrechner_Kopfzeile,$B$3:$L$3,
  _xlpm.notenrechner_Datenbereich,$B$4:$L$17,
  _xlpm.notenrechner_KursnamenSpalte,INDEX(_xlpm.notenrechner_Datenbereich,0,MATCH("Kurs",_xlpm.notenrechner_Kopfzeile,0)),
  _xlpm.kurswahl_Kopfzeile,Kurswahl!$B$3:$G$3,
  _xlpm.kurswahl_Datenbereich,Kurswahl!$B$4:$G$100,
  _xlpm.kurswahl_KursnamenSpalte,Kurswahl!$C$4:$C$100,
  _xlpm.kurswahl_BelegungSpalte_Q12,INDEX(_xlpm.kurswahl_Datenbereich,0,MATCH("Q1/2",_xlpm.kurswahl_Kopfzeile,0)),
  _xlpm.kurswahl_BelegungSpalte_Q34,INDEX(_xlpm.kurswahl_Datenbereich,0,MATCH("Q3/4",_xlpm.kurswahl_Kopfzeile,0)),
  _xlpm.notenrechner_BelegungErlaubt_Q34,_xlfn.XLOOKUP(_xlpm.notenrechner_KursnamenSpalte,_xlpm.kurswahl_KursnamenSpalte,_xlpm.kurswahl_BelegungSpalte_Q34,FALSE)=TRUE,
  _xlpm.notenrechner_Einbringung_Halbjahr_Drei,($J$4:$J$17=TRUE)*_xlpm.notenrechner_BelegungErlaubt_Q34*($I$4:$I$17&lt;&gt;0),
  _xlpm.notenrechner_Einbringung_Halbjahr_Vier,($L$4:$L$17=TRUE)*_xlpm.notenrechner_BelegungErlaubt_Q34*($K$4:$K$17&lt;&gt;0),
  _xlpm.notenrechner_Politik_Q34_Eingebracht,SUMPRODUCT((_xlpm.notenrechner_KursnamenSpalte="Politikwissenschaften")*_xlpm.notenrechner_Einbringung_Halbjahr_Drei*_xlpm.notenrechner_Einbringung_Halbjahr_Vier)&gt;0,
  _xlpm.kurswahl_ZeilenIndex,ROW(Kurswahl!$B$4:$B$100),
  _xlpm.kurswahl_Start_ZweitesAufgabenfeld,_xlfn.AGGREGATE(15,6,_xlpm.kurswahl_ZeilenIndex/(Kurswahl!$B$4:$B$100="2. Aufgabenfeld"),1),
  _xlpm.kurswahl_Start_DrittesAufgabenfeld,IFERROR(_xlfn.AGGREGATE(15,6,_xlpm.kurswahl_ZeilenIndex/(Kurswahl!$B$4:$B$100="3. Aufgabenfeld"),1),ROW(Kurswahl!$B$100)+1),
  _xlpm.kurswahl_ImZweitenAufgabenfeld,(_xlpm.kurswahl_ZeilenIndex&gt;=_xlpm.kurswahl_Start_ZweitesAufgabenfeld)*(_xlpm.kurswahl_ZeilenIndex&lt;_xlpm.kurswahl_Start_DrittesAufgabenfeld),
  _xlpm.kurswahl_DurchgaengigBelegt,(_xlpm.kurswahl_BelegungSpalte_Q12=TRUE)*(_xlpm.kurswahl_BelegungSpalte_Q34=TRUE),
  _xlpm.kurswahl_AnzahlDurchgaengigBelegt,SUMPRODUCT(_xlpm.kurswahl_ImZweitenAufgabenfeld*_xlpm.kurswahl_DurchgaengigBelegt),
  _xlpm.kurswahl_GeschichteDurchgaengigBelegt,SUMPRODUCT(_xlpm.kurswahl_ImZweitenAufgabenfeld*(_xlpm.kurswahl_KursnamenSpalte="Geschichte")*_xlpm.kurswahl_DurchgaengigBelegt)&gt;0,
  _xlpm.kurswahl_NurGeschichteDurchgaengig,AND(_xlpm.kurswahl_GeschichteDurchgaengigBelegt,_xlpm.kurswahl_AnzahlDurchgaengigBelegt=1),
  OR(NOT(_xlpm.kurswahl_NurGeschichteDurchgaengig),_xlpm.notenrechner_Politik_Q34_Eingebracht)
)</f>
        <v>1</v>
      </c>
    </row>
    <row r="30" spans="2:16" ht="15" customHeight="1">
      <c r="B30" s="78" t="s">
        <v>136</v>
      </c>
      <c r="C30" s="66" t="b">
        <v>0</v>
      </c>
      <c r="D30" s="18" t="s">
        <v>137</v>
      </c>
      <c r="E30" s="17"/>
      <c r="F30" s="17"/>
      <c r="G30" s="63" cm="1">
        <f t="array" ref="G30">_xlfn.LET(
  _xlpm.pf_1, IF(AND($C$30=TRUE,NOT($G$19=""),NOT($E$19="")),ROUND((($E$19*2+$G$19)/3)*4,0),$E$19*4),
  _xlpm.pf_2, IF(AND($C$30=TRUE,NOT($G$20=""),NOT($E$20="")),ROUND((($E$20*2+$G$20)/3)*4,0),$E$20*4),
  _xlpm.pf_3, IF(AND($C$30=TRUE,NOT($G$21=""),NOT($E$21="")),ROUND((($E$21*2+$G$21)/3)*4,0),$E$21*4),
  _xlpm.rest, SUM($E$22:$E$23)*4,
  _xlpm.pf_1+_xlpm.pf_2+_xlpm.pf_3+_xlpm.rest
)</f>
        <v>0</v>
      </c>
      <c r="O30" s="1" t="s">
        <v>138</v>
      </c>
      <c r="P30" s="1" t="str" cm="1">
        <f t="array" ref="P30">_xlfn.LET(
  _xlpm.notenrechner_Kopfzeile,$B$3:$L$3,
  _xlpm.notenrechner_Datenbereich,$B$4:$L$17,
  _xlpm.notenrechner_KursnamenSpalte,INDEX(_xlpm.notenrechner_Datenbereich,0,MATCH("Kurs",_xlpm.notenrechner_Kopfzeile,0)),
  _xlpm.kurswahl_Kopfzeile,Kurswahl!$B$3:$G$3,
  _xlpm.kurswahl_Datenbereich,Kurswahl!$B$4:$G$100,
  _xlpm.kurswahl_KursnamenSpalte,Kurswahl!$C$4:$C$100,
  _xlpm.kurswahl_BelegungSpalte_Q12,INDEX(_xlpm.kurswahl_Datenbereich,0,MATCH("Q1/2",_xlpm.kurswahl_Kopfzeile,0)),
  _xlpm.kurswahl_BelegungSpalte_Q34,INDEX(_xlpm.kurswahl_Datenbereich,0,MATCH("Q3/4",_xlpm.kurswahl_Kopfzeile,0)),
  _xlpm.notenrechner_BelegungErlaubt_Q12,_xlfn.XLOOKUP(_xlpm.notenrechner_KursnamenSpalte,_xlpm.kurswahl_KursnamenSpalte,_xlpm.kurswahl_BelegungSpalte_Q12,FALSE)=TRUE,
  _xlpm.notenrechner_BelegungErlaubt_Q34,_xlfn.XLOOKUP(_xlpm.notenrechner_KursnamenSpalte,_xlpm.kurswahl_KursnamenSpalte,_xlpm.kurswahl_BelegungSpalte_Q34,FALSE)=TRUE,
  _xlpm.notenrechner_Einbringung_Halbjahr_Eins,($F$4:$F$17=TRUE)*_xlpm.notenrechner_BelegungErlaubt_Q12*($E$4:$E$17&lt;&gt;0),
  _xlpm.notenrechner_Einbringung_Halbjahr_Zwei,($H$4:$H$17=TRUE)*_xlpm.notenrechner_BelegungErlaubt_Q12*($G$4:$G$17&lt;&gt;0),
  _xlpm.notenrechner_Einbringung_Halbjahr_Drei,($J$4:$J$17=TRUE)*_xlpm.notenrechner_BelegungErlaubt_Q34*($I$4:$I$17&lt;&gt;0),
  _xlpm.notenrechner_Einbringung_Halbjahr_Vier,($L$4:$L$17=TRUE)*_xlpm.notenrechner_BelegungErlaubt_Q34*($K$4:$K$17&lt;&gt;0),
  _xlpm.notenrechner_DurchgaengigEingebracht,_xlpm.notenrechner_Einbringung_Halbjahr_Eins*_xlpm.notenrechner_Einbringung_Halbjahr_Zwei*_xlpm.notenrechner_Einbringung_Halbjahr_Drei*_xlpm.notenrechner_Einbringung_Halbjahr_Vier,
  _xlpm.notenrechner_ZeilenIndex,ROW($B$4:$B$17),
  _xlpm.notenrechner_Start_ZweitesAufgabenfeld,_xlfn.AGGREGATE(15,6,_xlpm.notenrechner_ZeilenIndex/($B$4:$B$17="2. Aufgabenfeld"),1),
  _xlpm.notenrechner_Start_DrittesAufgabenfeld,IFERROR(_xlfn.AGGREGATE(15,6,_xlpm.notenrechner_ZeilenIndex/($B$4:$B$17="3. Aufgabenfeld"),1),ROW($B$17)+1),
  _xlpm.notenrechner_ImZweitenAufgabenfeld,(_xlpm.notenrechner_ZeilenIndex&gt;=_xlpm.notenrechner_Start_ZweitesAufgabenfeld)*(_xlpm.notenrechner_ZeilenIndex&lt;_xlpm.notenrechner_Start_DrittesAufgabenfeld),
  _xlpm.notenrechner_MindestensEinDurchgaengig,SUMPRODUCT(_xlpm.notenrechner_ImZweitenAufgabenfeld*_xlpm.notenrechner_DurchgaengigEingebracht)&gt;0,
  _xlpm.notenrechner_GeschichteDurchgaengig,SUMPRODUCT(_xlpm.notenrechner_ImZweitenAufgabenfeld*(_xlpm.notenrechner_KursnamenSpalte="Geschichte")*_xlpm.notenrechner_DurchgaengigEingebracht)&gt;0,
  _xlpm.notenrechner_GeschichteSemesterAnzahl,SUMPRODUCT(_xlpm.notenrechner_ImZweitenAufgabenfeld*(_xlpm.notenrechner_KursnamenSpalte="Geschichte")*(_xlpm.notenrechner_Einbringung_Halbjahr_Eins+_xlpm.notenrechner_Einbringung_Halbjahr_Zwei+_xlpm.notenrechner_Einbringung_Halbjahr_Drei+_xlpm.notenrechner_Einbringung_Halbjahr_Vier)),
  _xlpm.output,IF(AND(_xlpm.notenrechner_MindestensEinDurchgaengig,NOT(_xlpm.notenrechner_GeschichteDurchgaengig)),_xlpm.notenrechner_GeschichteSemesterAnzahl&gt;=2,TRUE),
IFERROR(_xlpm.output, "-")
)</f>
        <v>-</v>
      </c>
    </row>
    <row r="31" spans="2:16" ht="15" customHeight="1">
      <c r="O31" s="7" t="s">
        <v>90</v>
      </c>
    </row>
    <row r="32" spans="2:16">
      <c r="B32" s="95" t="str" cm="1">
        <f t="array" ref="B32">_xlfn.LET(
  _xlpm.kopfzeilen,$B$3:$L$3,
  _xlpm.datenbereich,$B$4:$L$17,
  _xlpm.spalte_kurs,INDEX(_xlpm.datenbereich,0,MATCH("Kurs",_xlpm.kopfzeilen,0)),
  _xlpm.kurswahl_kopfzeilen,Kurswahl!$B$3:$G$3,
  _xlpm.kurswahl_zeilen,Kurswahl!$B$4:$G$100,
  _xlpm.kurswahl_spalte_kurs,Kurswahl!$C$4:$C$100,
  _xlpm.kurswahl_spalte_q12,INDEX(_xlpm.kurswahl_zeilen,0,MATCH("Q1/2",_xlpm.kurswahl_kopfzeilen,0)),
  _xlpm.kurswahl_spalte_q34,INDEX(_xlpm.kurswahl_zeilen,0,MATCH("Q3/4",_xlpm.kurswahl_kopfzeilen,0)),
  _xlpm.erlaubnis_q12,_xlfn.XLOOKUP(_xlpm.spalte_kurs,_xlpm.kurswahl_spalte_kurs,_xlpm.kurswahl_spalte_q12,FALSE)=TRUE,
  _xlpm.erlaubnis_q34,_xlfn.XLOOKUP(_xlpm.spalte_kurs,_xlpm.kurswahl_spalte_kurs,_xlpm.kurswahl_spalte_q34,FALSE)=TRUE,
  _xlpm.belegt_q1,ISNUMBER($E$4:$E$17)*_xlpm.erlaubnis_q12,
  _xlpm.belegt_q2,ISNUMBER($G$4:$G$17)*_xlpm.erlaubnis_q12,
  _xlpm.belegt_q3,ISNUMBER($I$4:$I$17)*_xlpm.erlaubnis_q34,
  _xlpm.belegt_q4,ISNUMBER($K$4:$K$17)*_xlpm.erlaubnis_q34,
  _xlpm.anzahl_belegte_semester,SUMPRODUCT(_xlpm.belegt_q1+_xlpm.belegt_q2+_xlpm.belegt_q3+_xlpm.belegt_q4),
  _xlpm.skifahrt_kursname,$G$23,
  _xlpm.skifahrt_erlaubnis_q12,_xlfn.XLOOKUP(_xlpm.skifahrt_kursname,_xlpm.kurswahl_spalte_kurs,_xlpm.kurswahl_spalte_q12,FALSE)=TRUE,
  _xlpm.skifahrt_erlaubnis_q34,_xlfn.XLOOKUP(_xlpm.skifahrt_kursname,_xlpm.kurswahl_spalte_kurs,_xlpm.kurswahl_spalte_q34,FALSE)=TRUE,
  _xlpm.skifahrt_erlaubt,OR(_xlpm.skifahrt_erlaubnis_q12,_xlpm.skifahrt_erlaubnis_q34),
  _xlpm.skifahrt_belegt,ISNUMBER($I$23)*_xlpm.skifahrt_erlaubt,
  _xlpm.anzahl_belegte_semester_inkl_skifahrt,_xlpm.anzahl_belegte_semester+N(_xlpm.skifahrt_belegt),
  _xlpm.grund_weniger_als_vierzig,_xlpm.anzahl_belegte_semester_inkl_skifahrt&lt;40,
  _xlpm.grund_punkteregel,COUNTIF(P9:P13,FALSE)&gt;0,
  _xlpm.einleitung,"Es muss zurückgetreten werden, da ",
  _xlpm.text_grund1,"weniger als 40 Kurse belegt wurden (einige sind evtl. mit 0 Pkt. bewertet)",
  _xlpm.text_grund2,"die Punkteregelungen nicht eingehalten werden konnten",
  _xlpm.basistext,
    IF(
      AND(NOT(_xlpm.grund_weniger_als_vierzig),NOT(_xlpm.grund_punkteregel)),
      "",
      IF(
        AND(_xlpm.grund_weniger_als_vierzig,_xlpm.grund_punkteregel),
        _xlpm.einleitung&amp;_xlpm.text_grund1&amp;" und "&amp;_xlpm.text_grund2,
        _xlpm.einleitung&amp;IF(_xlpm.grund_weniger_als_vierzig,_xlpm.text_grund1,_xlpm.text_grund2)
      )
    ),
  IF(COUNTIF(Kurswahl!$K$4:$K$40,FALSE)&gt;0,"Hinweis: Die Kurswahl ist inkorrekt. Der Notenrechner funktioniert nicht korrekt. Bitte passe die Kurswahl an!",IF(_xlpm.basistext&lt;&gt;"",_xlpm.basistext&amp;".",""))
)</f>
        <v>Hinweis: Die Kurswahl ist inkorrekt. Der Notenrechner funktioniert nicht korrekt. Bitte passe die Kurswahl an!</v>
      </c>
      <c r="C32" s="95"/>
      <c r="D32" s="95"/>
      <c r="E32" s="95"/>
      <c r="F32" s="95"/>
      <c r="G32" s="95"/>
      <c r="O32" s="1" t="s">
        <v>139</v>
      </c>
      <c r="P32" s="46" t="b" cm="1">
        <f t="array" ref="P32">_xlfn.LET(
  _xlpm.kopfzeilen,$B$3:$L$3,
  _xlpm.datenbereich,$B$4:$L$17,
  _xlpm.spalte_kurs,INDEX(_xlpm.datenbereich,0,MATCH("Kurs",_xlpm.kopfzeilen,0)),
  _xlpm.semester1,$F$4:$F$17, _xlpm.semester2,$H$4:$H$17, _xlpm.semester3,$J$4:$J$17, _xlpm.semester4,$L$4:$L$17,
  SUMPRODUCT((_xlpm.spalte_kurs="Mathematik")*(_xlpm.semester1=TRUE)*(_xlpm.semester2=TRUE)*(_xlpm.semester3=TRUE)*(_xlpm.semester4=TRUE))&gt;0
)</f>
        <v>0</v>
      </c>
    </row>
    <row r="33" spans="2:16">
      <c r="B33" s="95"/>
      <c r="C33" s="95"/>
      <c r="D33" s="95"/>
      <c r="E33" s="95"/>
      <c r="F33" s="95"/>
      <c r="G33" s="95"/>
      <c r="O33" s="1" t="s">
        <v>140</v>
      </c>
      <c r="P33" s="35" t="b" cm="1">
        <f t="array" ref="P33">_xlfn.LET(
  _xlpm.kopfzeilen,$B$3:$L$3, _xlpm.datenbereich,$B$4:$L$17,
  _xlpm.spalte_kurs,INDEX(_xlpm.datenbereich,0,MATCH("Kurs",_xlpm.kopfzeilen,0)),
  _xlpm.kurswahl_kopfzeilen,Kurswahl!$B$3:$G$3,
  _xlpm.kurswahl_zeilen,Kurswahl!$B$4:$G$100,
  _xlpm.kurswahl_spalte_kurs,Kurswahl!$C$4:$C$100,
  _xlpm.kurswahl_spalte_q12,INDEX(_xlpm.kurswahl_zeilen,0,MATCH("Q1/2",_xlpm.kurswahl_kopfzeilen,0)),
  _xlpm.kurswahl_spalte_q34,INDEX(_xlpm.kurswahl_zeilen,0,MATCH("Q3/4",_xlpm.kurswahl_kopfzeilen,0)),
  _xlpm.erlaubnis_q12,_xlfn.XLOOKUP(_xlpm.spalte_kurs,_xlpm.kurswahl_spalte_kurs,_xlpm.kurswahl_spalte_q12,FALSE)=TRUE,
  _xlpm.erlaubnis_q34,_xlfn.XLOOKUP(_xlpm.spalte_kurs,_xlpm.kurswahl_spalte_kurs,_xlpm.kurswahl_spalte_q34,FALSE)=TRUE,
  _xlpm.gueltig_q1,($F$4:$F$17=TRUE)*_xlpm.erlaubnis_q12*($E$4:$E$17&lt;&gt;0),
  _xlpm.gueltig_q2,($H$4:$H$17=TRUE)*_xlpm.erlaubnis_q12*($G$4:$G$17&lt;&gt;0),
  _xlpm.gueltig_q3,($J$4:$J$17=TRUE)*_xlpm.erlaubnis_q34*($I$4:$I$17&lt;&gt;0),
  _xlpm.gueltig_q4,($L$4:$L$17=TRUE)*_xlpm.erlaubnis_q34*($K$4:$K$17&lt;&gt;0),
  _xlpm.durch_vec,_xlpm.gueltig_q1*_xlpm.gueltig_q2*_xlpm.gueltig_q3*_xlpm.gueltig_q4,
  _xlpm.kurse_kopf,'Angebotene Kurse'!$B$3:$G$3, _xlpm.kurse_daten,'Angebotene Kurse'!$B$4:$G$1002,
  _xlpm.natur_kurse,_xlfn._xlws.FILTER(INDEX(_xlpm.kurse_daten,0,MATCH("Kurs",_xlpm.kurse_kopf,0)),INDEX(_xlpm.kurse_daten,0,MATCH("Typ",_xlpm.kurse_kopf,0))="Naturwissenschaft"),
  SUMPRODUCT(ISNUMBER(MATCH(_xlpm.spalte_kurs,_xlpm.natur_kurse,0))*_xlpm.durch_vec)&gt;0
)</f>
        <v>0</v>
      </c>
    </row>
    <row r="34" spans="2:16" ht="15" customHeight="1">
      <c r="B34" s="95"/>
      <c r="C34" s="95"/>
      <c r="D34" s="95"/>
      <c r="E34" s="95"/>
      <c r="F34" s="95"/>
      <c r="G34" s="95"/>
      <c r="O34" s="1" t="s">
        <v>141</v>
      </c>
      <c r="P34" s="35" t="b" cm="1">
        <f t="array" ref="P34">_xlfn.LET(
  _xlpm.kopfzeilen,$B$3:$L$3, _xlpm.datenbereich,$B$4:$L$17,
  _xlpm.spalte_kurs,INDEX(_xlpm.datenbereich,0,MATCH("Kurs",_xlpm.kopfzeilen,0)),
  _xlpm.kurswahl_kopfzeilen,Kurswahl!$B$3:$G$3,
  _xlpm.kurswahl_zeilen,Kurswahl!$B$4:$G$100,
  _xlpm.kurswahl_spalte_kurs,Kurswahl!$C$4:$C$100,
  _xlpm.kurswahl_spalte_q12,INDEX(_xlpm.kurswahl_zeilen,0,MATCH("Q1/2",_xlpm.kurswahl_kopfzeilen,0)),
  _xlpm.kurswahl_spalte_q34,INDEX(_xlpm.kurswahl_zeilen,0,MATCH("Q3/4",_xlpm.kurswahl_kopfzeilen,0)),
  _xlpm.erlaubnis_q12,_xlfn.XLOOKUP(_xlpm.spalte_kurs,_xlpm.kurswahl_spalte_kurs,_xlpm.kurswahl_spalte_q12,FALSE)=TRUE,
  _xlpm.erlaubnis_q34,_xlfn.XLOOKUP(_xlpm.spalte_kurs,_xlpm.kurswahl_spalte_kurs,_xlpm.kurswahl_spalte_q34,FALSE)=TRUE,
  _xlpm.gueltig_q1,($F$4:$F$17=TRUE)*_xlpm.erlaubnis_q12*($E$4:$E$17&lt;&gt;0),
  _xlpm.gueltig_q2,($H$4:$H$17=TRUE)*_xlpm.erlaubnis_q12*($G$4:$G$17&lt;&gt;0),
  _xlpm.gueltig_q3,($J$4:$J$17=TRUE)*_xlpm.erlaubnis_q34*($I$4:$I$17&lt;&gt;0),
  _xlpm.gueltig_q4,($L$4:$L$17=TRUE)*_xlpm.erlaubnis_q34*($K$4:$K$17&lt;&gt;0),
  _xlpm.bio_durch,SUMPRODUCT((_xlpm.spalte_kurs="Biologie")*_xlpm.gueltig_q1*_xlpm.gueltig_q2*_xlpm.gueltig_q3*_xlpm.gueltig_q4)&gt;0,
  _xlpm.phys_sem_anzahl,SUMPRODUCT((_xlpm.spalte_kurs="Physik")*(_xlpm.gueltig_q1+_xlpm.gueltig_q2+_xlpm.gueltig_q3+_xlpm.gueltig_q4)),
  _xlpm.chem_sem_anzahl,SUMPRODUCT((_xlpm.spalte_kurs="Chemie")*(_xlpm.gueltig_q1+_xlpm.gueltig_q2+_xlpm.gueltig_q3+_xlpm.gueltig_q4)),
  IF(_xlpm.bio_durch,OR(_xlpm.phys_sem_anzahl&gt;=2,_xlpm.chem_sem_anzahl&gt;=2),TRUE)
)</f>
        <v>1</v>
      </c>
    </row>
    <row r="35" spans="2:16" ht="15" customHeight="1">
      <c r="B35" s="84"/>
      <c r="C35" s="92"/>
      <c r="D35" s="92"/>
      <c r="E35" s="92"/>
      <c r="F35" s="92"/>
      <c r="G35" s="92"/>
      <c r="O35" s="1" t="s">
        <v>142</v>
      </c>
      <c r="P35" s="35" t="b" cm="1">
        <f t="array" ref="P35">_xlfn.LET(
  _xlpm.kopf,$B$3:$L$3,
  _xlpm.daten,$B$4:$L$17,
  _xlpm.kurs,INDEX(_xlpm.daten,,MATCH("Kurs",_xlpm.kopf,0)),
  _xlpm.var_pf,INDEX(_xlpm.daten,,MATCH("PF",_xlpm.kopf,0)),
  _xlpm.var_pkt1,$E$4:$E$17, _xlpm.var_chk1,$F$4:$F$17,
  _xlpm.var_pkt2,$G$4:$G$17, _xlpm.var_chk2,$H$4:$H$17,
  _xlpm.var_pkt3,$I$4:$I$17, _xlpm.var_chk3,$J$4:$J$17,
  _xlpm.var_pkt4,$K$4:$K$17, _xlpm.var_chk4,$L$4:$L$17,
  _xlpm.kw_kurs,Kurswahl!$C$4:$C$100,
  _xlpm.kw_q12,Kurswahl!$E$4:$E$100,
  _xlpm.kw_q34,Kurswahl!$F$4:$F$100,
  _xlpm.erlaub_q12,_xlfn.XLOOKUP(_xlpm.kurs,_xlpm.kw_kurs,_xlpm.kw_q12,FALSE)=TRUE,
  _xlpm.erlaub_q34,_xlfn.XLOOKUP(_xlpm.kurs,_xlpm.kw_kurs,_xlpm.kw_q34,FALSE)=TRUE,
  _xlpm.sport_als_pf,SUMPRODUCT((_xlpm.kurs="Sport")*(((_xlpm.var_pf="3. PF")+(_xlpm.var_pf="4. PF"))&gt;0))&gt;0,
  _xlpm.var_b1_sp,(_xlpm.kurs="Sport")*(_xlpm.var_chk1=TRUE)*_xlpm.erlaub_q12*(_xlpm.var_pkt1&lt;&gt;0),
  _xlpm.var_b2_sp,(_xlpm.kurs="Sport")*(_xlpm.var_chk2=TRUE)*_xlpm.erlaub_q12*(_xlpm.var_pkt2&lt;&gt;0),
  _xlpm.var_b3_sp,(_xlpm.kurs="Sport")*(_xlpm.var_chk3=TRUE)*_xlpm.erlaub_q34*(_xlpm.var_pkt3&lt;&gt;0),
  _xlpm.var_b4_sp,(_xlpm.kurs="Sport")*(_xlpm.var_chk4=TRUE)*_xlpm.erlaub_q34*(_xlpm.var_pkt4&lt;&gt;0),
  _xlpm.sport_praxis,SUMPRODUCT(_xlpm.var_b1_sp+_xlpm.var_b2_sp+_xlpm.var_b3_sp+_xlpm.var_b4_sp),
  _xlpm.var_b1_st,(_xlpm.kurs="Sport Theorie")*(_xlpm.var_chk1=TRUE)*_xlpm.erlaub_q12*(_xlpm.var_pkt1&lt;&gt;0),
  _xlpm.var_b2_st,(_xlpm.kurs="Sport Theorie")*(_xlpm.var_chk2=TRUE)*_xlpm.erlaub_q12*(_xlpm.var_pkt2&lt;&gt;0),
  _xlpm.var_b3_st,(_xlpm.kurs="Sport Theorie")*(_xlpm.var_chk3=TRUE)*_xlpm.erlaub_q34*(_xlpm.var_pkt3&lt;&gt;0),
  _xlpm.var_b4_st,(_xlpm.kurs="Sport Theorie")*(_xlpm.var_chk4=TRUE)*_xlpm.erlaub_q34*(_xlpm.var_pkt4&lt;&gt;0),
  _xlpm.sport_theorie,SUMPRODUCT(_xlpm.var_b1_st+_xlpm.var_b2_st+_xlpm.var_b3_st+_xlpm.var_b4_st),
  _xlpm.ski_kurs,$G$23,
  _xlpm.ski_pkt,$I$23,
  _xlpm.ski_chk,$J$23=TRUE,
  _xlpm.ski_wert,_xlpm.ski_pkt&lt;&gt;0,
  _xlpm.ski_q12,_xlfn.XLOOKUP(_xlpm.ski_kurs,_xlpm.kw_kurs,_xlpm.kw_q12,FALSE)=TRUE,
  _xlpm.ski_q34,_xlfn.XLOOKUP(_xlpm.ski_kurs,_xlpm.kw_kurs,_xlpm.kw_q34,FALSE)=TRUE,
  _xlpm.ski_erlaubt,OR(_xlpm.ski_q12,_xlpm.ski_q34),
  _xlpm.ski_sem,N(_xlpm.ski_chk*_xlpm.ski_wert*_xlpm.ski_erlaubt),
  _xlpm.sport_gesamt,(_xlpm.sport_praxis+_xlpm.ski_sem)+_xlpm.sport_theorie,
  IF(_xlpm.sport_als_pf,TRUE,AND(_xlpm.sport_gesamt&lt;=4,_xlpm.sport_theorie&lt;=2))
)</f>
        <v>1</v>
      </c>
    </row>
    <row r="36" spans="2:16">
      <c r="B36" s="4" t="s">
        <v>143</v>
      </c>
      <c r="C36" s="71"/>
      <c r="D36" s="71"/>
      <c r="E36" s="71"/>
      <c r="F36" s="71"/>
      <c r="G36" s="71"/>
      <c r="H36" s="3"/>
      <c r="I36" s="3"/>
      <c r="J36" s="3"/>
      <c r="K36" s="3"/>
      <c r="L36" s="3"/>
      <c r="O36" s="7" t="s">
        <v>53</v>
      </c>
    </row>
    <row r="37" spans="2:16">
      <c r="B37" s="1"/>
      <c r="M37" s="41"/>
      <c r="O37" s="1" t="s">
        <v>144</v>
      </c>
      <c r="P37" s="35" t="b" cm="1">
        <f t="array" ref="P37">_xlfn.LET(
  _xlpm.kopfzeilen,$B$3:$L$3,
  _xlpm.datenbereich,$B$4:$L$17,
  _xlpm.spalte_kurs,INDEX(_xlpm.datenbereich,0,MATCH("Kurs",_xlpm.kopfzeilen,0)),
  _xlpm.kurswahl_kopfzeilen,Kurswahl!$B$3:$G$3,
  _xlpm.kurswahl_zeilen,Kurswahl!$B$4:$G$100,
  _xlpm.kurswahl_spalte_kurs,Kurswahl!$C$4:$C$100,
  _xlpm.kurswahl_spalte_q12,INDEX(_xlpm.kurswahl_zeilen,0,MATCH("Q1/2",_xlpm.kurswahl_kopfzeilen,0)),
  _xlpm.kurswahl_spalte_q34,INDEX(_xlpm.kurswahl_zeilen,0,MATCH("Q3/4",_xlpm.kurswahl_kopfzeilen,0)),
  _xlpm.erlaubnis_q12,_xlfn.XLOOKUP(_xlpm.spalte_kurs,_xlpm.kurswahl_spalte_kurs,_xlpm.kurswahl_spalte_q12,FALSE)=TRUE,
  _xlpm.erlaubnis_q34,_xlfn.XLOOKUP(_xlpm.spalte_kurs,_xlpm.kurswahl_spalte_kurs,_xlpm.kurswahl_spalte_q34,FALSE)=TRUE,
  _xlpm.gueltig_q1,($F$4:$F$17=TRUE)*_xlpm.erlaubnis_q12*($E$4:$E$17&lt;&gt;0),
  _xlpm.gueltig_q2,($H$4:$H$17=TRUE)*_xlpm.erlaubnis_q12*($G$4:$G$17&lt;&gt;0),
  _xlpm.gueltig_q3,($J$4:$J$17=TRUE)*_xlpm.erlaubnis_q34*($I$4:$I$17&lt;&gt;0),
  _xlpm.gueltig_q4,($L$4:$L$17=TRUE)*_xlpm.erlaubnis_q34*($K$4:$K$17&lt;&gt;0),
  _xlpm.zeilenindex,ROW($B$4:$B$17),
  _xlpm.zusatz_start,IFERROR(
    _xlfn.AGGREGATE(15,6,_xlpm.zeilenindex/($B$4:$B$17="Zusatzkurse"),1),
    ROW($B$17)+1
  ),
  _xlpm.in_zusatz,_xlpm.zeilenindex&gt;=_xlpm.zusatz_start,
  _xlpm.anzahl_gueltige_semester_pro_zeile,_xlpm.gueltig_q1+_xlpm.gueltig_q2+_xlpm.gueltig_q3+_xlpm.gueltig_q4,
  _xlpm.kurse_kopf,'Angebotene Kurse'!$B$3:$G$3,
  _xlpm.kurse_daten,'Angebotene Kurse'!$B$4:$G$1002,
  _xlpm.kurse_liste,INDEX(_xlpm.kurse_daten,0,MATCH("Kurs",_xlpm.kurse_kopf,0)),
  _xlpm.typ_spalte,INDEX(_xlpm.kurse_daten,0,MATCH("Typ",_xlpm.kurse_kopf,0)),
  _xlpm.typ_pro_zeile,_xlfn.XLOOKUP(_xlpm.spalte_kurs,_xlpm.kurse_liste,_xlpm.typ_spalte,""),
  _xlpm.ist_sondertyp,
    --(((_xlpm.typ_pro_zeile="Ensemblemusik")+
        (_xlpm.typ_pro_zeile="Beruf-&amp;-Studium"))&gt;0),
  _xlpm.gesamt_semester_ohne_sonder,
    SUMPRODUCT(_xlpm.in_zusatz*(1-_xlpm.ist_sondertyp)*_xlpm.anzahl_gueltige_semester_pro_zeile),
  _xlpm.gesamt_semester_ohne_sonder&lt;=4
)</f>
        <v>1</v>
      </c>
    </row>
    <row r="38" spans="2:16">
      <c r="O38" s="1" t="s">
        <v>145</v>
      </c>
      <c r="P38" s="35" t="b" cm="1">
        <f t="array" ref="P38">_xlfn.LET(
  _xlpm.kopfzeilen,$B$3:$L$3,
  _xlpm.datenbereich,$B$4:$L$17,
  _xlpm.spalte_kurs,INDEX(_xlpm.datenbereich,0,MATCH("Kurs",_xlpm.kopfzeilen,0)),
  _xlpm.kurswahl_kopfzeilen,Kurswahl!$B$3:$G$3,
  _xlpm.kurswahl_zeilen,Kurswahl!$B$4:$G$100,
  _xlpm.kurswahl_spalte_kurs,Kurswahl!$C$4:$C$100,
  _xlpm.kurswahl_spalte_q12,INDEX(_xlpm.kurswahl_zeilen,0,MATCH("Q1/2",_xlpm.kurswahl_kopfzeilen,0)),
  _xlpm.kurswahl_spalte_q34,INDEX(_xlpm.kurswahl_zeilen,0,MATCH("Q3/4",_xlpm.kurswahl_kopfzeilen,0)),
  _xlpm.erlaubnis_q12,_xlfn.XLOOKUP(_xlpm.spalte_kurs,_xlpm.kurswahl_spalte_kurs,_xlpm.kurswahl_spalte_q12,FALSE)=TRUE,
  _xlpm.erlaubnis_q34,_xlfn.XLOOKUP(_xlpm.spalte_kurs,_xlpm.kurswahl_spalte_kurs,_xlpm.kurswahl_spalte_q34,FALSE)=TRUE,
  _xlpm.gueltig_q1,($F$4:$F$17=TRUE)*_xlpm.erlaubnis_q12*($E$4:$E$17&lt;&gt;0),
  _xlpm.gueltig_q2,($H$4:$H$17=TRUE)*_xlpm.erlaubnis_q12*($G$4:$G$17&lt;&gt;0),
  _xlpm.gueltig_q3,($J$4:$J$17=TRUE)*_xlpm.erlaubnis_q34*($I$4:$I$17&lt;&gt;0),
  _xlpm.gueltig_q4,($L$4:$L$17=TRUE)*_xlpm.erlaubnis_q34*($K$4:$K$17&lt;&gt;0),
  _xlpm.zeilenindex,ROW($B$4:$B$17),
  _xlpm.zusatz_start,IFERROR(
    _xlfn.AGGREGATE(15,6,_xlpm.zeilenindex/($B$4:$B$17="Zusatzkurse"),1),
    ROW($B$17)+1
  ),
  _xlpm.in_zusatz,_xlpm.zeilenindex&gt;=_xlpm.zusatz_start,
  _xlpm.anzahl_gueltige_semester_pro_zeile,_xlpm.gueltig_q1+_xlpm.gueltig_q2+_xlpm.gueltig_q3+_xlpm.gueltig_q4,
  _xlpm.regel_pro_kurs,SUMPRODUCT(_xlpm.in_zusatz*(_xlpm.anzahl_gueltige_semester_pro_zeile&gt;2))=0,
  _xlpm.kurse_kopf,'Angebotene Kurse'!$B$3:$G$3,
  _xlpm.kurse_daten,'Angebotene Kurse'!$B$4:$G$1002,
  _xlpm.kurse_liste,INDEX(_xlpm.kurse_daten,0,MATCH("Kurs",_xlpm.kurse_kopf,0)),
  _xlpm.typ_spalte,INDEX(_xlpm.kurse_daten,0,MATCH("Typ",_xlpm.kurse_kopf,0)),
  _xlpm.typ_pro_zeile,_xlfn.XLOOKUP(_xlpm.spalte_kurs,_xlpm.kurse_liste,_xlpm.typ_spalte,""),
  _xlpm.typ_zusatz,IFERROR(_xlfn._xlws.FILTER(_xlpm.typ_pro_zeile,_xlpm.in_zusatz*(_xlpm.typ_pro_zeile&lt;&gt;"")),""),
  _xlpm.sem_zusatz,IFERROR(_xlfn._xlws.FILTER(_xlpm.anzahl_gueltige_semester_pro_zeile,_xlpm.in_zusatz*(_xlpm.typ_pro_zeile&lt;&gt;"")),0),
  _xlpm.typen_einzig,_xlfn.UNIQUE(_xlpm.typ_zusatz),
  _xlpm.summe_pro_typ,MMULT(--(_xlpm.typen_einzig=TRANSPOSE(_xlpm.typ_zusatz)),_xlpm.sem_zusatz),
  _xlpm.max_sem_pro_typ,MAX(_xlpm.summe_pro_typ),
  _xlpm.regel_pro_typ,_xlpm.max_sem_pro_typ&lt;=2,
  AND(_xlpm.regel_pro_kurs,_xlpm.regel_pro_typ)
)</f>
        <v>1</v>
      </c>
    </row>
    <row r="39" spans="2:16" ht="15" customHeight="1">
      <c r="E39" s="35"/>
      <c r="O39" s="1" t="s">
        <v>146</v>
      </c>
      <c r="P39" s="35" t="b" cm="1">
        <f t="array" ref="P39">_xlfn.LET(
  _xlpm.kopfzeilen,$B$3:$L$3, _xlpm.datenbereich,$B$4:$L$17,
  _xlpm.spalte_kurs,INDEX(_xlpm.datenbereich,0,MATCH("Kurs",_xlpm.kopfzeilen,0)),
  _xlpm.kurswahl_kopfzeilen,Kurswahl!$B$3:$G$3, _xlpm.kurswahl_zeilen,Kurswahl!$B$4:$G$100,
  _xlpm.kurswahl_spalte_kurs,Kurswahl!$C$4:$C$100,
  _xlpm.kurswahl_spalte_q12,INDEX(_xlpm.kurswahl_zeilen,0,MATCH("Q1/2",_xlpm.kurswahl_kopfzeilen,0)),
  _xlpm.kurswahl_spalte_q34,INDEX(_xlpm.kurswahl_zeilen,0,MATCH("Q3/4",_xlpm.kurswahl_kopfzeilen,0)),
  _xlpm.erlaubnis_q12,_xlfn.XLOOKUP(_xlpm.spalte_kurs,_xlpm.kurswahl_spalte_kurs,_xlpm.kurswahl_spalte_q12,FALSE)=TRUE,
  _xlpm.erlaubnis_q34,_xlfn.XLOOKUP(_xlpm.spalte_kurs,_xlpm.kurswahl_spalte_kurs,_xlpm.kurswahl_spalte_q34,FALSE)=TRUE,
  _xlpm.gueltig_q1,($F$4:$F$17=TRUE)*_xlpm.erlaubnis_q12*($E$4:$E$17&lt;&gt;0),
  _xlpm.gueltig_q2,($H$4:$H$17=TRUE)*_xlpm.erlaubnis_q12*($G$4:$G$17&lt;&gt;0),
  _xlpm.gueltig_q3,($J$4:$J$17=TRUE)*_xlpm.erlaubnis_q34*($I$4:$I$17&lt;&gt;0),
  _xlpm.gueltig_q4,($L$4:$L$17=TRUE)*_xlpm.erlaubnis_q34*($K$4:$K$17&lt;&gt;0),
  _xlpm.zeilenindex,ROW($B$4:$B$17),
  _xlpm.zusatz_start,IFERROR(_xlfn.AGGREGATE(15,6,_xlpm.zeilenindex/($B$4:$B$17="Zusatzkurse"),1),ROW($B$17)+1),
  _xlpm.in_zusatz,_xlpm.zeilenindex&gt;=_xlpm.zusatz_start,
  _xlpm.kurse_kopf,'Angebotene Kurse'!$B$3:$G$3, _xlpm.kurse_daten,'Angebotene Kurse'!$B$4:$G$1002,
  _xlpm.ensem_kursliste,_xlfn._xlws.FILTER(INDEX(_xlpm.kurse_daten,0,MATCH("Kurs",_xlpm.kurse_kopf,0)),INDEX(_xlpm.kurse_daten,0,MATCH("Typ",_xlpm.kurse_kopf,0))="Ensemblemusik"),
  _xlpm.ist_ensem,ISNUMBER(MATCH(_xlpm.spalte_kurs,_xlpm.ensem_kursliste,0)),
  _xlpm.gesamt_semester_ensem,SUMPRODUCT(_xlpm.in_zusatz*_xlpm.ist_ensem*(_xlpm.gueltig_q1+_xlpm.gueltig_q2+_xlpm.gueltig_q3+_xlpm.gueltig_q4)),
  _xlpm.gesamt_semester_ensem&lt;=2
)</f>
        <v>1</v>
      </c>
    </row>
    <row r="40" spans="2:16">
      <c r="B40" s="76"/>
      <c r="O40" s="44" t="s">
        <v>147</v>
      </c>
      <c r="P40" s="45" t="b" cm="1">
        <f t="array" ref="P40">_xlfn.LET(
  _xlpm.kopfzeilen,$B$3:$L$3, _xlpm.datenbereich,$B$4:$L$17,
  _xlpm.spalte_kurs,INDEX(_xlpm.datenbereich,0,MATCH("Kurs",_xlpm.kopfzeilen,0)),
  _xlpm.kurswahl_kopfzeilen,Kurswahl!$B$3:$G$3, _xlpm.kurswahl_zeilen,Kurswahl!$B$4:$G$100,
  _xlpm.kurswahl_spalte_kurs,Kurswahl!$C$4:$C$100,
  _xlpm.kurswahl_spalte_q12,INDEX(_xlpm.kurswahl_zeilen,0,MATCH("Q1/2",_xlpm.kurswahl_kopfzeilen,0)),
  _xlpm.kurswahl_spalte_q34,INDEX(_xlpm.kurswahl_zeilen,0,MATCH("Q3/4",_xlpm.kurswahl_kopfzeilen,0)),
  _xlpm.erlaubnis_q12,_xlfn.XLOOKUP(_xlpm.spalte_kurs,_xlpm.kurswahl_spalte_kurs,_xlpm.kurswahl_spalte_q12,FALSE)=TRUE,
  _xlpm.erlaubnis_q34,_xlfn.XLOOKUP(_xlpm.spalte_kurs,_xlpm.kurswahl_spalte_kurs,_xlpm.kurswahl_spalte_q34,FALSE)=TRUE,
  _xlpm.gueltig_q1,($F$4:$F$17=TRUE)*_xlpm.erlaubnis_q12*($E$4:$E$17&lt;&gt;0),
  _xlpm.gueltig_q2,($H$4:$H$17=TRUE)*_xlpm.erlaubnis_q12*($G$4:$G$17&lt;&gt;0),
  _xlpm.gueltig_q3,($J$4:$J$17=TRUE)*_xlpm.erlaubnis_q34*($I$4:$I$17&lt;&gt;0),
  _xlpm.gueltig_q4,($L$4:$L$17=TRUE)*_xlpm.erlaubnis_q34*($K$4:$K$17&lt;&gt;0),
  _xlpm.zeilenindex,ROW($B$4:$B$17),
  _xlpm.zusatz_start,IFERROR(_xlfn.AGGREGATE(15,6,_xlpm.zeilenindex/($B$4:$B$17="Zusatzkurse"),1),ROW($B$17)+1),
  _xlpm.in_zusatz,_xlpm.zeilenindex&gt;=_xlpm.zusatz_start,
  _xlpm.kurse_kopf,'Angebotene Kurse'!$B$3:$G$3, _xlpm.kurse_daten,'Angebotene Kurse'!$B$4:$G$1002,
  _xlpm.studium_kursliste,_xlfn._xlws.FILTER(INDEX(_xlpm.kurse_daten,0,MATCH("Kurs",_xlpm.kurse_kopf,0)),INDEX(_xlpm.kurse_daten,0,MATCH("Typ",_xlpm.kurse_kopf,0))="Beruf &amp; Studium"),
  _xlpm.ist_studium,ISNUMBER(MATCH(_xlpm.spalte_kurs,_xlpm.studium_kursliste,0)),
  _xlpm.gesamt_semester_studium,SUMPRODUCT(_xlpm.in_zusatz*_xlpm.ist_studium*(_xlpm.gueltig_q1+_xlpm.gueltig_q2+_xlpm.gueltig_q3+_xlpm.gueltig_q4)),
  _xlpm.gesamt_semester_studium&lt;=2
)</f>
        <v>1</v>
      </c>
    </row>
    <row r="41" spans="2:16">
      <c r="O41" s="81"/>
      <c r="P41" s="81"/>
    </row>
    <row r="42" spans="2:16">
      <c r="O42" s="82" t="s">
        <v>64</v>
      </c>
      <c r="P42" s="81"/>
    </row>
  </sheetData>
  <sheetProtection algorithmName="SHA-512" hashValue="UQInIz1lEDS7p3ZbMm1cfGurbEmquoiKanQQkWBEtg07AdkhXEH9QK3GVQSWL3ncRY1Bwx6rjBYRqiVImBI3Eg==" saltValue="6iUecXApZALSULQGio23Vw==" spinCount="100000" sheet="1" objects="1" scenarios="1"/>
  <protectedRanges>
    <protectedRange sqref="E39 C30 E4:L17" name="Notenrechner"/>
    <protectedRange sqref="E19:E23" name="Abiturprüfungen"/>
    <protectedRange sqref="I23:J23" name="Skifahrt"/>
    <protectedRange sqref="C30" name="Nachprüfungen 1"/>
    <protectedRange sqref="G19:G21" name="Nachprüfungen 2"/>
  </protectedRanges>
  <mergeCells count="10">
    <mergeCell ref="P20:P21"/>
    <mergeCell ref="O13:O14"/>
    <mergeCell ref="P13:P14"/>
    <mergeCell ref="O17:O18"/>
    <mergeCell ref="P17:P18"/>
    <mergeCell ref="B32:G34"/>
    <mergeCell ref="G23:H23"/>
    <mergeCell ref="B27:B28"/>
    <mergeCell ref="C27:C28"/>
    <mergeCell ref="O20:O21"/>
  </mergeCells>
  <conditionalFormatting sqref="B29">
    <cfRule type="expression" dxfId="44" priority="3">
      <formula>$C$29&lt;&gt;""</formula>
    </cfRule>
  </conditionalFormatting>
  <conditionalFormatting sqref="C4:C17">
    <cfRule type="expression" dxfId="43" priority="96">
      <formula>NOT(INDEX($C:$C,ROW())="")</formula>
    </cfRule>
  </conditionalFormatting>
  <conditionalFormatting sqref="C4:L17">
    <cfRule type="expression" dxfId="42" priority="86">
      <formula>ISBLANK(INDEX($C:$C, ROW()))</formula>
    </cfRule>
    <cfRule type="expression" dxfId="41" priority="97">
      <formula>AND(INDEX($C:$C,ROW())&lt;&gt;"", OR(INDEX($C:$C,ROW()+1)="", INDEX($C:$C,ROW()+1)="Kurs"))</formula>
    </cfRule>
  </conditionalFormatting>
  <conditionalFormatting sqref="D4:D17">
    <cfRule type="expression" dxfId="40" priority="94">
      <formula>NOT(INDEX($C:$C,ROW())="")</formula>
    </cfRule>
  </conditionalFormatting>
  <conditionalFormatting sqref="E19:E23">
    <cfRule type="expression" dxfId="39" priority="89" stopIfTrue="1">
      <formula>E19&lt;&gt;""</formula>
    </cfRule>
  </conditionalFormatting>
  <conditionalFormatting sqref="E39">
    <cfRule type="expression" dxfId="38" priority="26">
      <formula>ISBLANK(INDEX($C:$C, ROW()))</formula>
    </cfRule>
    <cfRule type="expression" dxfId="37" priority="30">
      <formula>$J39=TRUE</formula>
    </cfRule>
    <cfRule type="expression" dxfId="36" priority="31">
      <formula>AND(INDEX($C:$C,ROW())&lt;&gt;"", OR(INDEX($C:$C,ROW()+1)="", INDEX($C:$C,ROW()+1)="Kurs"))</formula>
    </cfRule>
  </conditionalFormatting>
  <conditionalFormatting sqref="E4:F17">
    <cfRule type="expression" dxfId="35" priority="93">
      <formula>$F4=TRUE</formula>
    </cfRule>
  </conditionalFormatting>
  <conditionalFormatting sqref="F19:F21">
    <cfRule type="expression" dxfId="34" priority="4">
      <formula>G19=""</formula>
    </cfRule>
  </conditionalFormatting>
  <conditionalFormatting sqref="F18:G21">
    <cfRule type="expression" dxfId="33" priority="6">
      <formula>$C$30=FALSE</formula>
    </cfRule>
  </conditionalFormatting>
  <conditionalFormatting sqref="G19">
    <cfRule type="expression" dxfId="32" priority="9">
      <formula>$C$30=TRUE</formula>
    </cfRule>
  </conditionalFormatting>
  <conditionalFormatting sqref="G19:G21">
    <cfRule type="expression" dxfId="31" priority="8">
      <formula>$C$30=TRUE</formula>
    </cfRule>
  </conditionalFormatting>
  <conditionalFormatting sqref="G21">
    <cfRule type="expression" dxfId="30" priority="10">
      <formula>$C$30=TRUE</formula>
    </cfRule>
  </conditionalFormatting>
  <conditionalFormatting sqref="G26">
    <cfRule type="expression" dxfId="29" priority="2">
      <formula>OR(ISNUMBER(FIND("FALSCH",""&amp;P4&amp;"")), ISNUMBER(FIND("ZU VIELE",""&amp;P4&amp;"")))</formula>
    </cfRule>
  </conditionalFormatting>
  <conditionalFormatting sqref="G4:H17">
    <cfRule type="expression" dxfId="28" priority="92">
      <formula>$H4=TRUE</formula>
    </cfRule>
  </conditionalFormatting>
  <conditionalFormatting sqref="G18">
    <cfRule type="expression" dxfId="27" priority="18">
      <formula>$C$30=TRUE</formula>
    </cfRule>
  </conditionalFormatting>
  <conditionalFormatting sqref="I4:J17">
    <cfRule type="expression" dxfId="26" priority="91">
      <formula>$J4=TRUE</formula>
    </cfRule>
  </conditionalFormatting>
  <conditionalFormatting sqref="I23:J23">
    <cfRule type="expression" dxfId="25" priority="65">
      <formula>$J$23=TRUE</formula>
    </cfRule>
  </conditionalFormatting>
  <conditionalFormatting sqref="K4:L17">
    <cfRule type="expression" dxfId="24" priority="90">
      <formula>$L4=TRUE</formula>
    </cfRule>
  </conditionalFormatting>
  <conditionalFormatting sqref="L4:L17">
    <cfRule type="expression" dxfId="23" priority="95">
      <formula>NOT(ISBLANK(INDEX($C:$C,ROW())))</formula>
    </cfRule>
  </conditionalFormatting>
  <conditionalFormatting sqref="P4">
    <cfRule type="expression" dxfId="22" priority="62">
      <formula>OR(ISNUMBER(FIND("FALSCH",""&amp;P4&amp;"")), ISNUMBER(FIND("ZU VIELE",""&amp;P4&amp;"")))</formula>
    </cfRule>
  </conditionalFormatting>
  <conditionalFormatting sqref="P4:P40">
    <cfRule type="expression" dxfId="21" priority="106">
      <formula>OR(ISNUMBER(FIND("FALSCH",""&amp;P4&amp;"")), ISNUMBER(FIND("FALSE",""&amp;P4&amp;"")))</formula>
    </cfRule>
    <cfRule type="expression" dxfId="20" priority="107">
      <formula>OR(ISNUMBER(FIND("WAHR",""&amp;P4&amp;"")), ISNUMBER(FIND("TRUE",""&amp;P4&amp;"")))</formula>
    </cfRule>
  </conditionalFormatting>
  <conditionalFormatting sqref="P13">
    <cfRule type="expression" dxfId="19" priority="32">
      <formula>$P$13="AUSFÜLLEN"</formula>
    </cfRule>
  </conditionalFormatting>
  <conditionalFormatting sqref="D4:D23">
    <cfRule type="expression" dxfId="18" priority="1">
      <formula>NOT((C4=""))*(NOT(C4="Kurs"))</formula>
    </cfRule>
  </conditionalFormatting>
  <conditionalFormatting sqref="G19:G21">
    <cfRule type="expression" dxfId="17" priority="11" stopIfTrue="1">
      <formula>G19&lt;&gt;""</formula>
    </cfRule>
  </conditionalFormatting>
  <dataValidations count="7">
    <dataValidation allowBlank="1" showInputMessage="1" showErrorMessage="1" sqref="D4:D15 D18 C30" xr:uid="{76D08568-7405-443A-8A10-52449937BAB0}"/>
    <dataValidation type="list" allowBlank="1" showInputMessage="1" showErrorMessage="1" sqref="E19:E23 I23" xr:uid="{E294F665-1A0E-4CED-901A-ED019A07BDFF}">
      <formula1>"15,14,13,12,11,10,9,8,7,6,5,4,3,2,1,0"</formula1>
    </dataValidation>
    <dataValidation type="custom" showInputMessage="1" showErrorMessage="1" sqref="E39" xr:uid="{20C1F147-95C0-4A68-ABFF-809FD58E2018}">
      <formula1>AND(D39&gt;=1, OR( ISNUMBER(FIND("FALSCH", $P$4&amp;"")), E39=FALSE ))</formula1>
    </dataValidation>
    <dataValidation type="list" showInputMessage="1" showErrorMessage="1" sqref="G4:G17 E4:E17 I4:I17 K4:K17" xr:uid="{64B32533-5C32-4B11-A201-85B8DC592B58}">
      <formula1>"15,14,13,12,11,10,9,8,7,6,5,4,3,2,1,0"</formula1>
    </dataValidation>
    <dataValidation type="custom" showInputMessage="1" showErrorMessage="1" sqref="J23 L4:L17 H4:H17 J4:J17" xr:uid="{FA568471-A7AD-1D43-9F09-288AF912D6C9}">
      <formula1>OR(H4=TRUE,H4=FALSE)</formula1>
    </dataValidation>
    <dataValidation type="list" allowBlank="1" showInputMessage="1" showErrorMessage="1" sqref="G19:G21" xr:uid="{81E39E91-0184-4755-9BE2-AD53D8B3ECE8}">
      <formula1>"15,14,13,12,11,10,9,8,7,6,5,4,3,2,1"</formula1>
    </dataValidation>
    <dataValidation type="custom" showInputMessage="1" showErrorMessage="1" sqref="F4:F17" xr:uid="{400CCD76-8C6C-45FE-BC5B-D21E97BE4927}">
      <formula1>OR(F4=TRUE, F4=FALSE)</formula1>
    </dataValidation>
  </dataValidations>
  <hyperlinks>
    <hyperlink ref="O42" location="'Kommentare'!B2" display="Kommentare  ⇒" xr:uid="{E409B057-833E-468C-BFA8-B881CF1977DE}"/>
  </hyperlink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7" id="{03679802-A359-466F-B709-5CC2497B0D09}">
            <xm:f>_xlfn.XLOOKUP($C39, Kurswahl!$C$4:$C$1000, Kurswahl!$F$4:$F$1000, TRUE)=FALSE</xm:f>
            <x14:dxf>
              <font>
                <color theme="2" tint="-9.9978637043366805E-2"/>
              </font>
              <fill>
                <patternFill patternType="solid">
                  <bgColor theme="2" tint="-9.9978637043366805E-2"/>
                </patternFill>
              </fill>
            </x14:dxf>
          </x14:cfRule>
          <x14:cfRule type="expression" priority="28" id="{AAFBF849-C539-4645-BC21-5613D8E5788B}">
            <xm:f>_xlfn.XLOOKUP($C39, Kurswahl!$C$4:$C$1000, Kurswahl!$F$4:$F$1000, TRUE)=TRUE</xm:f>
            <x14:dxf>
              <font>
                <color theme="1"/>
              </font>
            </x14:dxf>
          </x14:cfRule>
          <x14:cfRule type="expression" priority="29" id="{F48EFAFC-887A-4E7A-8F8B-39F4FC915B17}">
            <xm:f>_xlfn.XLOOKUP($C39, Kurswahl!$C$4:$C$1000, Kurswahl!$E$4:$E$1000, TRUE)=TRUE</xm:f>
            <x14:dxf>
              <font>
                <color theme="1"/>
              </font>
            </x14:dxf>
          </x14:cfRule>
          <xm:sqref>E39</xm:sqref>
        </x14:conditionalFormatting>
        <x14:conditionalFormatting xmlns:xm="http://schemas.microsoft.com/office/excel/2006/main">
          <x14:cfRule type="expression" priority="85" id="{FAA0625F-02BC-4013-8DB4-A3D1CE6AC111}">
            <xm:f>_xlfn.XLOOKUP($C4, Kurswahl!$C$4:$C$1000, Kurswahl!$E$4:$E$1000, TRUE)=FALSE</xm:f>
            <x14:dxf>
              <font>
                <color theme="2" tint="-9.9978637043366805E-2"/>
              </font>
              <fill>
                <patternFill patternType="solid">
                  <bgColor theme="2" tint="-9.9978637043366805E-2"/>
                </patternFill>
              </fill>
            </x14:dxf>
          </x14:cfRule>
          <xm:sqref>E4:H17</xm:sqref>
        </x14:conditionalFormatting>
        <x14:conditionalFormatting xmlns:xm="http://schemas.microsoft.com/office/excel/2006/main">
          <x14:cfRule type="expression" priority="87" id="{3669E69A-948B-FB4F-B824-2D048BAA595D}">
            <xm:f>_xlfn.XLOOKUP($C4, Kurswahl!$C$4:$C$1000, Kurswahl!$F$4:$F$1000, TRUE)=TRUE</xm:f>
            <x14:dxf>
              <font>
                <color theme="1"/>
              </font>
            </x14:dxf>
          </x14:cfRule>
          <x14:cfRule type="expression" priority="88" id="{933B00D0-6929-1F40-BD42-9A2E3CB4D0D9}">
            <xm:f>_xlfn.XLOOKUP($C4, Kurswahl!$C$4:$C$1000, Kurswahl!$E$4:$E$1000, TRUE)=TRUE</xm:f>
            <x14:dxf>
              <font>
                <color theme="1"/>
              </font>
            </x14:dxf>
          </x14:cfRule>
          <xm:sqref>E4:L17</xm:sqref>
        </x14:conditionalFormatting>
        <x14:conditionalFormatting xmlns:xm="http://schemas.microsoft.com/office/excel/2006/main">
          <x14:cfRule type="expression" priority="63" id="{4D3FFC96-04D0-4347-85C1-7433D6469424}">
            <xm:f>SUMPRODUCT((INDEX(Kurswahl!$B$4:$G$70,0,MATCH("Kurs",Kurswahl!$B$3:$G$3,0))="Skifahrt")*(--(INDEX(Kurswahl!$B$4:$G$70,0,MATCH("Q1/2",Kurswahl!$B$3:$G$3,0))=TRUE)+--(INDEX(Kurswahl!$B$4:$G$70,0,MATCH("Q3/4",Kurswahl!$B$3:$G$3,0))=TRUE)))&lt;=0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G22 G23:J23</xm:sqref>
        </x14:conditionalFormatting>
        <x14:conditionalFormatting xmlns:xm="http://schemas.microsoft.com/office/excel/2006/main">
          <x14:cfRule type="expression" priority="67" id="{2949B274-B367-8443-AFD9-FE6F032CA62F}">
            <xm:f>SUMPRODUCT((INDEX(Kurswahl!$B$4:$G$70,0,MATCH("Kurs",Kurswahl!$B$3:$G$3,0))="Skifahrt")*(--(INDEX(Kurswahl!$B$4:$G$70,0,MATCH("Q1/2",Kurswahl!$B$3:$G$3,0))=TRUE)+--(INDEX(Kurswahl!$B$4:$G$70,0,MATCH("Q3/4",Kurswahl!$B$3:$G$3,0))=TRUE)))&gt;0</xm:f>
            <x14:dxf>
              <border>
                <left style="thin">
                  <color auto="1"/>
                </left>
                <vertical/>
                <horizontal/>
              </border>
            </x14:dxf>
          </x14:cfRule>
          <xm:sqref>G23</xm:sqref>
        </x14:conditionalFormatting>
        <x14:conditionalFormatting xmlns:xm="http://schemas.microsoft.com/office/excel/2006/main">
          <x14:cfRule type="expression" priority="68" id="{237B4C0E-C0F3-B248-A5F6-B31781A4B044}">
            <xm:f>SUMPRODUCT((INDEX(Kurswahl!$B$4:$G$70,0,MATCH("Kurs",Kurswahl!$B$3:$G$3,0))="Skifahrt")*(--(INDEX(Kurswahl!$B$4:$G$70,0,MATCH("Q1/2",Kurswahl!$B$3:$G$3,0))=TRUE)+--(INDEX(Kurswahl!$B$4:$G$70,0,MATCH("Q3/4",Kurswahl!$B$3:$G$3,0))=TRUE)))&gt;0</xm:f>
            <x14:dxf>
              <border>
                <top style="thin">
                  <color theme="1"/>
                </top>
                <bottom style="thin">
                  <color theme="1"/>
                </bottom>
                <vertical/>
                <horizontal/>
              </border>
            </x14:dxf>
          </x14:cfRule>
          <xm:sqref>G23:J23</xm:sqref>
        </x14:conditionalFormatting>
        <x14:conditionalFormatting xmlns:xm="http://schemas.microsoft.com/office/excel/2006/main">
          <x14:cfRule type="expression" priority="64" id="{53399366-8E7F-DE46-829E-246CBE59A391}">
            <xm:f>SUMPRODUCT((INDEX(Kurswahl!$B$4:$G$70,0,MATCH("Kurs",Kurswahl!$B$3:$G$3,0))="Skifahrt")*(--(INDEX(Kurswahl!$B$4:$G$70,0,MATCH("Q1/2",Kurswahl!$B$3:$G$3,0))=TRUE)+--(INDEX(Kurswahl!$B$4:$G$70,0,MATCH("Q3/4",Kurswahl!$B$3:$G$3,0))=TRUE)))&gt;0</xm:f>
            <x14:dxf>
              <border>
                <right style="dashed">
                  <color auto="1"/>
                </right>
                <vertical/>
                <horizontal/>
              </border>
            </x14:dxf>
          </x14:cfRule>
          <xm:sqref>H23</xm:sqref>
        </x14:conditionalFormatting>
        <x14:conditionalFormatting xmlns:xm="http://schemas.microsoft.com/office/excel/2006/main">
          <x14:cfRule type="expression" priority="84" id="{6CDC4392-34C4-4420-9FDE-F49202292636}">
            <xm:f>_xlfn.XLOOKUP($C4, Kurswahl!$C$4:$C$1000, Kurswahl!$F$4:$F$1000, TRUE)=FALSE</xm:f>
            <x14:dxf>
              <font>
                <color theme="2" tint="-9.9978637043366805E-2"/>
              </font>
              <fill>
                <patternFill patternType="solid">
                  <bgColor theme="2" tint="-9.9978637043366805E-2"/>
                </patternFill>
              </fill>
            </x14:dxf>
          </x14:cfRule>
          <xm:sqref>I4:L17</xm:sqref>
        </x14:conditionalFormatting>
        <x14:conditionalFormatting xmlns:xm="http://schemas.microsoft.com/office/excel/2006/main">
          <x14:cfRule type="expression" priority="66" id="{5A74C7A3-6D8C-8941-9E21-C56AB045D9DA}">
            <xm:f>SUMPRODUCT((INDEX(Kurswahl!$B$4:$G$70,0,MATCH("Kurs",Kurswahl!$B$3:$G$3,0))="Skifahrt")*(--(INDEX(Kurswahl!$B$4:$G$70,0,MATCH("Q1/2",Kurswahl!$B$3:$G$3,0))=TRUE)+--(INDEX(Kurswahl!$B$4:$G$70,0,MATCH("Q3/4",Kurswahl!$B$3:$G$3,0))=TRUE)))&gt;0</xm:f>
            <x14:dxf>
              <border>
                <right style="thin">
                  <color auto="1"/>
                </right>
                <vertical/>
                <horizontal/>
              </border>
            </x14:dxf>
          </x14:cfRule>
          <xm:sqref>J23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BEDA-569E-44C3-96E3-CFC32FEE231D}">
  <dimension ref="A1:L15"/>
  <sheetViews>
    <sheetView workbookViewId="0">
      <selection activeCell="G21" sqref="G21"/>
    </sheetView>
  </sheetViews>
  <sheetFormatPr defaultColWidth="9.140625" defaultRowHeight="15"/>
  <cols>
    <col min="1" max="1" width="2.85546875" style="1" customWidth="1"/>
    <col min="2" max="16384" width="9.140625" style="1"/>
  </cols>
  <sheetData>
    <row r="1" spans="1:12">
      <c r="B1" s="74"/>
    </row>
    <row r="2" spans="1:12" ht="18.75">
      <c r="A2" s="29"/>
      <c r="B2" s="27" t="s">
        <v>148</v>
      </c>
      <c r="C2" s="28"/>
      <c r="D2" s="28"/>
      <c r="E2" s="28"/>
      <c r="F2" s="28"/>
      <c r="G2" s="28"/>
      <c r="H2" s="28"/>
      <c r="I2" s="28"/>
      <c r="J2" s="28"/>
      <c r="K2" s="28"/>
      <c r="L2" s="28"/>
    </row>
    <row r="4" spans="1:12" ht="18.75" customHeight="1">
      <c r="B4" s="80" t="s">
        <v>18</v>
      </c>
    </row>
    <row r="5" spans="1:12" ht="18.75" customHeight="1">
      <c r="B5" s="22" t="s">
        <v>149</v>
      </c>
    </row>
    <row r="6" spans="1:12" ht="18.75" customHeight="1">
      <c r="B6" s="22"/>
    </row>
    <row r="7" spans="1:12" ht="18.75" customHeight="1">
      <c r="B7" s="80" t="s">
        <v>6</v>
      </c>
    </row>
    <row r="8" spans="1:12" ht="18.75" customHeight="1">
      <c r="B8" s="30" t="s">
        <v>150</v>
      </c>
    </row>
    <row r="9" spans="1:12" ht="48.75" customHeight="1">
      <c r="B9" s="101" t="str">
        <f>"a- und ggf. c-Klässler können bei der Wahl ihre bili-Profile verlieren, b-Klässler ihr NaWi-Profile!"&amp;CHAR(10)&amp;"  NaWi: 1 Prüfungsfach im 3. Aufgabenfeld."&amp;CHAR(10)&amp;"  Bili: Englisch LK, 1 bili-Fach als Prüfungsfach, Debating oder CCC 2 Semester."</f>
        <v>a- und ggf. c-Klässler können bei der Wahl ihre bili-Profile verlieren, b-Klässler ihr NaWi-Profile!
  NaWi: 1 Prüfungsfach im 3. Aufgabenfeld.
  Bili: Englisch LK, 1 bili-Fach als Prüfungsfach, Debating oder CCC 2 Semester.</v>
      </c>
      <c r="C9" s="101"/>
      <c r="D9" s="101"/>
      <c r="E9" s="101"/>
      <c r="F9" s="101"/>
      <c r="G9" s="101"/>
      <c r="H9" s="101"/>
      <c r="I9" s="101"/>
      <c r="J9" s="101"/>
      <c r="K9" s="101"/>
      <c r="L9" s="101"/>
    </row>
    <row r="10" spans="1:12" ht="18.75" customHeight="1">
      <c r="B10" s="30" t="s">
        <v>151</v>
      </c>
      <c r="C10" s="73"/>
      <c r="D10" s="73"/>
      <c r="E10" s="73"/>
      <c r="F10" s="73"/>
      <c r="G10" s="73"/>
      <c r="H10" s="73"/>
    </row>
    <row r="11" spans="1:12" ht="18.75" customHeight="1">
      <c r="B11" s="30" t="s">
        <v>152</v>
      </c>
      <c r="C11" s="73"/>
      <c r="D11" s="73"/>
      <c r="E11" s="73"/>
      <c r="F11" s="73"/>
      <c r="G11" s="73"/>
      <c r="H11" s="73"/>
    </row>
    <row r="12" spans="1:12" ht="18.75" customHeight="1"/>
    <row r="13" spans="1:12" ht="18.75" customHeight="1">
      <c r="B13" s="80" t="s">
        <v>8</v>
      </c>
    </row>
    <row r="14" spans="1:12" ht="18.75" customHeight="1">
      <c r="B14" s="24" t="s">
        <v>153</v>
      </c>
    </row>
    <row r="15" spans="1:12" ht="18.75" customHeight="1">
      <c r="B15" s="24" t="s">
        <v>154</v>
      </c>
    </row>
  </sheetData>
  <sheetProtection algorithmName="SHA-512" hashValue="uB2NnD53Quj30jwECvhQJXJI2BgLu6vB1YxKOxGPuWWBC7VRAg8m2Y5nr0eK1bK37uUalfi0RbTSWuA4At4b/g==" saltValue="kzN4cZI8KgZq1+uVnFWdKA==" spinCount="100000" sheet="1" objects="1" scenarios="1"/>
  <mergeCells count="1">
    <mergeCell ref="B9:L9"/>
  </mergeCells>
  <conditionalFormatting sqref="C8">
    <cfRule type="expression" dxfId="4" priority="3">
      <formula>LEN($C8&amp;"")&gt;0</formula>
    </cfRule>
  </conditionalFormatting>
  <conditionalFormatting sqref="C8:G8 B9">
    <cfRule type="expression" dxfId="3" priority="1">
      <formula>OR(AND($C8="Kurs",COLUMN()&lt;&gt;COLUMN($B:$B)), $B9="ALLE")</formula>
    </cfRule>
  </conditionalFormatting>
  <conditionalFormatting sqref="D8">
    <cfRule type="expression" dxfId="2" priority="2">
      <formula>LEN($C8&amp;"")&gt;0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B6D6EE0B-11AA-44BD-98CA-7377CDD5B675}">
            <xm:f>OR(AND($C7="Kurs",COLUMN()&lt;&gt;COLUMN($B:$B)), Kurswahl!#REF!="ALLE")</xm:f>
            <x14:dxf>
              <border>
                <bottom style="thin">
                  <color theme="1"/>
                </bottom>
                <vertical/>
                <horizontal/>
              </border>
            </x14:dxf>
          </x14:cfRule>
          <xm:sqref>B8</xm:sqref>
        </x14:conditionalFormatting>
        <x14:conditionalFormatting xmlns:xm="http://schemas.microsoft.com/office/excel/2006/main">
          <x14:cfRule type="expression" priority="6" id="{680789A4-61B9-403D-ACB5-26959D4C50F0}">
            <xm:f>AND(LEN(Kurswahl!#REF!&amp;"")&gt;0, NOT(Kurswahl!#REF!="ALLE"), NOT(#REF!=""))</xm:f>
            <x14:dxf>
              <border>
                <top style="dashed">
                  <color auto="1"/>
                </top>
                <vertical/>
                <horizontal/>
              </border>
            </x14:dxf>
          </x14:cfRule>
          <xm:sqref>C8:G8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2025-10-09T21:41:34Z</dcterms:created>
  <dcterms:modified xsi:type="dcterms:W3CDTF">2026-02-24T20:16:09Z</dcterms:modified>
  <cp:category/>
  <cp:contentStatus/>
</cp:coreProperties>
</file>