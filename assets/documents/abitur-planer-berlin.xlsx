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3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F73DA004-DF0E-4986-8688-576BBE366088}" xr6:coauthVersionLast="47" xr6:coauthVersionMax="47" xr10:uidLastSave="{00000000-0000-0000-0000-000000000000}"/>
  <bookViews>
    <workbookView xWindow="0" yWindow="760" windowWidth="34560" windowHeight="19800" firstSheet="2" activeTab="3" xr2:uid="{00000000-000D-0000-FFFF-FFFF00000000}"/>
  </bookViews>
  <sheets>
    <sheet name="README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B4" i="5" a="1"/>
  <c r="G28" i="5" a="1"/>
  <c r="G28" i="5"/>
  <c r="C19" i="5" a="1"/>
  <c r="K7" i="4" a="1"/>
  <c r="K8" i="4" a="1"/>
  <c r="K9" i="4" a="1"/>
  <c r="K10" i="4" a="1"/>
  <c r="K11" i="4" a="1"/>
  <c r="K12" i="4" a="1"/>
  <c r="K14" i="4" a="1"/>
  <c r="K32" i="4" a="1"/>
  <c r="K7" i="4"/>
  <c r="K8" i="4"/>
  <c r="K9" i="4"/>
  <c r="K10" i="4"/>
  <c r="K11" i="4"/>
  <c r="K12" i="4"/>
  <c r="K14" i="4"/>
  <c r="K32" i="4"/>
  <c r="F33" i="4"/>
  <c r="B9" i="8"/>
  <c r="I19" i="5"/>
  <c r="G30" i="5" a="1"/>
  <c r="G30" i="5"/>
  <c r="P22" i="5"/>
  <c r="I21" i="5"/>
  <c r="I20" i="5"/>
  <c r="H21" i="5"/>
  <c r="H19" i="5"/>
  <c r="H20" i="5"/>
  <c r="G32" i="4"/>
  <c r="G30" i="4"/>
  <c r="G29" i="4"/>
  <c r="G28" i="4"/>
  <c r="G27" i="4"/>
  <c r="G26" i="4"/>
  <c r="G24" i="4"/>
  <c r="B4" i="4" a="1"/>
  <c r="G10" i="4"/>
  <c r="G25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5" i="4"/>
  <c r="G11" i="4"/>
  <c r="G22" i="4"/>
  <c r="G17" i="4"/>
  <c r="G4" i="4"/>
  <c r="G33" i="4" s="1"/>
  <c r="B4" i="4"/>
  <c r="C19" i="5"/>
  <c r="P25" i="5" a="1"/>
  <c r="P25" i="5"/>
  <c r="P34" i="5" a="1"/>
  <c r="P34" i="5"/>
  <c r="P33" i="5" a="1"/>
  <c r="P33" i="5"/>
  <c r="P24" i="5" a="1"/>
  <c r="P24" i="5"/>
  <c r="P35" i="5" a="1"/>
  <c r="P35" i="5"/>
  <c r="B4" i="5"/>
  <c r="P20" i="5" a="1"/>
  <c r="P20" i="5"/>
  <c r="P32" i="5" a="1"/>
  <c r="P32" i="5"/>
  <c r="P19" i="5" a="1"/>
  <c r="P19" i="5"/>
  <c r="P4" i="5" a="1"/>
  <c r="P4" i="5"/>
  <c r="P17" i="5" a="1"/>
  <c r="P17" i="5"/>
  <c r="P7" i="5" a="1"/>
  <c r="P7" i="5"/>
  <c r="P5" i="5" a="1"/>
  <c r="P5" i="5"/>
  <c r="P26" i="5" a="1"/>
  <c r="P26" i="5"/>
  <c r="P6" i="5" a="1"/>
  <c r="P6" i="5"/>
  <c r="P29" i="5" a="1"/>
  <c r="P29" i="5"/>
  <c r="P16" i="5" a="1"/>
  <c r="P16" i="5"/>
  <c r="P30" i="5" a="1"/>
  <c r="P30" i="5"/>
  <c r="P39" i="5" a="1"/>
  <c r="P39" i="5"/>
  <c r="P28" i="5" a="1"/>
  <c r="P28" i="5"/>
  <c r="P40" i="5" a="1"/>
  <c r="P40" i="5"/>
  <c r="P37" i="5" a="1"/>
  <c r="P37" i="5"/>
  <c r="P38" i="5" a="1"/>
  <c r="P38" i="5"/>
  <c r="P13" i="5" l="1" a="1"/>
  <c r="P13" i="5" s="1"/>
  <c r="G26" i="5" a="1"/>
  <c r="G26" i="5" s="1"/>
  <c r="P10" i="5" a="1"/>
  <c r="P10" i="5" s="1"/>
  <c r="P12" i="5" a="1"/>
  <c r="P12" i="5" s="1"/>
  <c r="K4" i="4" a="1"/>
  <c r="K4" i="4" s="1"/>
  <c r="K5" i="4" a="1"/>
  <c r="K5" i="4" s="1"/>
  <c r="K13" i="4" a="1"/>
  <c r="K13" i="4" s="1"/>
  <c r="K15" i="4" a="1"/>
  <c r="K15" i="4" s="1"/>
  <c r="K16" i="4" a="1"/>
  <c r="K16" i="4" s="1"/>
  <c r="K18" i="4" a="1"/>
  <c r="K18" i="4" s="1"/>
  <c r="K19" i="4" a="1"/>
  <c r="K19" i="4" s="1"/>
  <c r="K20" i="4" a="1"/>
  <c r="K20" i="4" s="1"/>
  <c r="K22" i="4" a="1"/>
  <c r="K22" i="4" s="1"/>
  <c r="K23" i="4" a="1"/>
  <c r="K23" i="4" s="1"/>
  <c r="K24" i="4" a="1"/>
  <c r="K24" i="4" s="1"/>
  <c r="K25" i="4" a="1"/>
  <c r="K25" i="4" s="1"/>
  <c r="K27" i="4" a="1"/>
  <c r="K27" i="4" s="1"/>
  <c r="K28" i="4" a="1"/>
  <c r="K28" i="4" s="1"/>
  <c r="K29" i="4" a="1"/>
  <c r="K29" i="4" s="1"/>
  <c r="K30" i="4" a="1"/>
  <c r="K30" i="4" s="1"/>
  <c r="K33" i="4" a="1"/>
  <c r="K33" i="4" s="1"/>
  <c r="P9" i="5" l="1"/>
  <c r="G27" i="5"/>
  <c r="G29" i="5" s="1"/>
  <c r="P11" i="5" s="1" a="1"/>
  <c r="P11" i="5" s="1"/>
  <c r="C26" i="5" a="1"/>
  <c r="C26" i="5" s="1"/>
  <c r="C27" i="5" s="1"/>
  <c r="C29" i="5" s="1" a="1"/>
  <c r="C29" i="5" s="1"/>
  <c r="B32" i="5" l="1" a="1"/>
  <c r="B32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<sst xmlns="http://schemas.openxmlformats.org/spreadsheetml/2006/main" count="196" uniqueCount="154">
  <si>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</si>
  <si>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</si>
  <si>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</si>
  <si>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</si>
  <si>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</si>
  <si>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</si>
  <si>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</si>
  <si>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</si>
  <si>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Wählt ihr zu viele aus, dann lassen sich nicht mehr Kurse auswählen, und ihr müsst einige wieder wegklicken.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</si>
  <si>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</si>
  <si>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</si>
  <si>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</si>
  <si>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</si>
  <si>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</si>
  <si>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</si>
  <si>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</si>
  <si>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</si>
  <si>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</si>
  <si>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</si>
  <si>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</si>
  <si>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</si>
  <si>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</si>
  <si>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</si>
  <si>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</si>
  <si>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</si>
  <si>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</si>
  <si>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</si>
  <si>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</si>
  <si>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</si>
  <si>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</si>
  <si>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</si>
  <si>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</si>
  <si>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</si>
  <si>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</si>
  <si>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</si>
  <si>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</si>
  <si>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</si>
  <si>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</si>
  <si>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</si>
  <si>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</si>
  <si>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</si>
  <si>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</si>
  <si>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</si>
  <si>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</si>
  <si>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</si>
  <si>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</si>
  <si>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</si>
  <si>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</si>
  <si>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</si>
  <si>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</si>
  <si>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</si>
  <si>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</si>
  <si>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</si>
  <si>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</si>
  <si>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</si>
  <si>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</si>
  <si>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</si>
  <si>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</si>
  <si>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</si>
  <si>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</si>
  <si>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</si>
  <si>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</si>
  <si>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</si>
  <si>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</si>
  <si>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</si>
  <si>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</si>
  <si>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</si>
  <si>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</si>
  <si>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</si>
  <si>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</si>
  <si>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</si>
  <si>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</si>
  <si>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</si>
  <si>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</si>
  <si>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</si>
  <si>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</si>
  <si>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</si>
  <si>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</si>
  <si>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</si>
  <si>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</si>
  <si>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</si>
  <si>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</si>
  <si>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</si>
  <si>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</si>
  <si>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</si>
  <si>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</si>
  <si>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</si>
  <si>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</si>
  <si>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</si>
  <si>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</si>
  <si>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</si>
  <si>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</si>
  <si>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</si>
  <si>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</si>
  <si>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</si>
  <si>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ALLE</t>
  </si>
  <si>
    <t>Einhaltung der Kurswahl mit dem schulinternen Angebot (Vgl. „Angebotene Kurse“)</t>
  </si>
  <si>
    <t>Die Wahl ist für einige Fächer aufgrund des begrenzten schulischen Angebots eingeschränkt!</t>
  </si>
  <si>
    <t>Q1</t>
  </si>
  <si>
    <t>Q2</t>
  </si>
  <si>
    <t>Q3</t>
  </si>
  <si>
    <t>Q4</t>
  </si>
  <si>
    <t>Insgesamt 32 Kurse eingebracht (mehr auszuwählen nicht möglich!)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</si>
  <si>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</si>
  <si>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</si>
  <si>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</si>
  <si>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</si>
  <si>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</si>
  <si>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</si>
  <si>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</si>
  <si>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</si>
  <si>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</si>
  <si>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</si>
  <si>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</si>
  <si>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</si>
  <si>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</si>
  <si>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Abi-Pkt.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</si>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</sst>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horizontal="left" wrapText="1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24" fillId="2" borderId="0" xfId="0" applyFont="1" applyFill="1" applyAlignment="1">
      <alignment horizontal="left" wrapText="1"/>
    </xf>
    <xf numFmtId="0" fontId="11" fillId="2" borderId="0" xfId="0" applyFont="1" applyFill="1" applyAlignment="1">
      <alignment horizontal="left" wrapText="1"/>
    </xf>
    <xf numFmtId="0" fontId="14" fillId="2" borderId="0" xfId="0" applyFont="1" applyFill="1" applyAlignment="1">
      <alignment horizontal="left" wrapText="1"/>
    </xf>
    <xf numFmtId="0" fontId="32" fillId="2" borderId="0" xfId="0" applyFont="1" applyFill="1"/>
    <xf numFmtId="49" fontId="24" fillId="4" borderId="0" xfId="0" applyNumberFormat="1" applyFont="1" applyFill="1" applyAlignment="1">
      <alignment wrapText="1"/>
    </xf>
  </cellXfs>
  <cellStyles count="2">
    <cellStyle name="Hyperlink" xfId="1" xr:uid="{00000000-000B-0000-0000-000008000000}"/>
    <cellStyle name="Standard" xfId="0" builtinId="0"/>
  </cellStyles>
  <dxfs count="67"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b/>
        <i val="0"/>
        <color theme="1"/>
      </font>
    </dxf>
    <dxf>
      <fill>
        <patternFill patternType="solid">
          <bgColor rgb="FFFABBD5"/>
        </patternFill>
      </fill>
    </dxf>
    <dxf>
      <font>
        <color rgb="FFFF0000"/>
      </font>
    </dxf>
    <dxf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border>
        <top style="thin">
          <color rgb="FF000000"/>
        </top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 patternType="solid">
          <bgColor rgb="FFFABBD5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198208</xdr:colOff>
      <xdr:row>1</xdr:row>
      <xdr:rowOff>0</xdr:rowOff>
    </xdr:from>
    <xdr:to>
      <xdr:col>8</xdr:col>
      <xdr:colOff>247650</xdr:colOff>
      <xdr:row>6</xdr:row>
      <xdr:rowOff>123825</xdr:rowOff>
    </xdr:to>
    <xdr:pic>
      <xdr:nvPicPr>
        <xdr:cNvPr id="2" name="Bild 1">
          <a:extLst>
            <a:ext uri="{FF2B5EF4-FFF2-40B4-BE49-F238E27FC236}">
              <a16:creationId xmlns:a16="http://schemas.microsoft.com/office/drawing/2014/main" id="{65520387-1916-41B5-9D57-95C4B9D85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22139" y="190867"/>
          <a:ext cx="2839037" cy="1496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3"/>
  <sheetViews>
    <sheetView topLeftCell="A4" zoomScale="173" workbookViewId="0">
      <selection activeCell="B13" sqref="B13:C13"/>
    </sheetView>
  </sheetViews>
  <sheetFormatPr defaultColWidth="9.140625" defaultRowHeight="15"/>
  <cols>
    <col min="1" max="1" width="2.85546875" style="1" customWidth="1"/>
    <col min="2" max="2" width="14.7109375" style="1" customWidth="1"/>
    <col min="3" max="3" width="89.140625" style="1" customWidth="1"/>
    <col min="4" max="16384" width="9.140625" style="1"/>
  </cols>
  <sheetData>
    <row r="2" spans="2:10" ht="18.75" customHeight="1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>
      <c r="B4" s="96" t="s">
        <v>1</v>
      </c>
      <c r="C4" s="90"/>
    </row>
    <row r="5" spans="2:10" ht="30" customHeight="1">
      <c r="B5" s="96" t="s">
        <v>2</v>
      </c>
      <c r="C5" s="90"/>
    </row>
    <row r="6" spans="2:10" ht="15" customHeight="1">
      <c r="B6" s="85" t="s">
        <v>3</v>
      </c>
      <c r="C6" s="23"/>
    </row>
    <row r="7" spans="2:10" ht="15" customHeight="1">
      <c r="B7" s="23"/>
      <c r="C7" s="23"/>
    </row>
    <row r="8" spans="2:10">
      <c r="B8" s="26" t="s">
        <v>4</v>
      </c>
      <c r="C8" s="27"/>
    </row>
    <row r="9" spans="2:10" ht="60" customHeight="1">
      <c r="B9" s="37" t="s">
        <v>5</v>
      </c>
      <c r="C9" s="100" t="s">
        <v>6</v>
      </c>
      <c r="D9" s="42"/>
    </row>
    <row r="10" spans="2:10" ht="9.75" customHeight="1">
      <c r="B10" s="37"/>
      <c r="C10" s="100"/>
      <c r="D10" s="42"/>
    </row>
    <row r="11" spans="2:10" ht="75" customHeight="1">
      <c r="B11" s="37" t="s">
        <v>7</v>
      </c>
      <c r="C11" s="100" t="s">
        <v>8</v>
      </c>
    </row>
    <row r="13" spans="2:10" ht="30" customHeight="1">
      <c r="B13" s="98" t="s">
        <v>9</v>
      </c>
      <c r="C13" s="90"/>
    </row>
    <row r="15" spans="2:10" ht="30" customHeight="1">
      <c r="B15" s="96" t="s">
        <v>10</v>
      </c>
      <c r="C15" s="90"/>
    </row>
    <row r="16" spans="2:10">
      <c r="B16" s="1" t="s">
        <v>11</v>
      </c>
    </row>
    <row r="17" spans="2:2">
      <c r="B17" s="99" t="s">
        <v>12</v>
      </c>
    </row>
    <row r="18" spans="2:2">
      <c r="B18" s="21"/>
    </row>
    <row r="19" spans="2:2">
      <c r="B19" s="22" t="s">
        <v>13</v>
      </c>
    </row>
    <row r="21" spans="2:2">
      <c r="B21" s="22" t="s">
        <v>14</v>
      </c>
    </row>
    <row r="22" spans="2:2">
      <c r="B22" s="22" t="s">
        <v>15</v>
      </c>
    </row>
    <row r="23" spans="2:2">
      <c r="B23" s="25" t="s">
        <v>16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5:C15"/>
    <mergeCell ref="B13:C13"/>
  </mergeCells>
  <conditionalFormatting sqref="B6 B9:B11">
    <cfRule type="top10" dxfId="66" priority="1" rank="10"/>
  </conditionalFormatting>
  <hyperlinks>
    <hyperlink ref="B9" location="'Kurswahl'!B2" display="Kurswahl" xr:uid="{5FAF49D0-324C-4B5B-AFDD-688E994BDB2F}"/>
    <hyperlink ref="B11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4"/>
  <sheetViews>
    <sheetView zoomScale="200" zoomScaleNormal="132" workbookViewId="0">
      <selection activeCell="C24" sqref="C24"/>
    </sheetView>
  </sheetViews>
  <sheetFormatPr defaultColWidth="9.140625" defaultRowHeight="15"/>
  <cols>
    <col min="1" max="1" width="2.85546875" style="1" customWidth="1"/>
    <col min="2" max="2" width="16.7109375" style="1" bestFit="1" customWidth="1"/>
    <col min="3" max="3" width="20.140625" style="1" bestFit="1" customWidth="1"/>
    <col min="4" max="4" width="9.140625" style="1" customWidth="1"/>
    <col min="5" max="6" width="9.140625" style="1"/>
    <col min="7" max="7" width="24.5703125" style="1" customWidth="1"/>
    <col min="8" max="16384" width="9.140625" style="1"/>
  </cols>
  <sheetData>
    <row r="2" spans="2:7" s="30" customFormat="1" ht="18.75" customHeight="1">
      <c r="B2" s="28" t="s">
        <v>17</v>
      </c>
      <c r="C2" s="29"/>
      <c r="D2" s="29"/>
      <c r="E2" s="29"/>
      <c r="F2" s="29"/>
      <c r="G2" s="29"/>
    </row>
    <row r="3" spans="2:7">
      <c r="C3" s="5" t="s">
        <v>18</v>
      </c>
      <c r="D3" s="16" t="s">
        <v>19</v>
      </c>
      <c r="E3" s="16" t="s">
        <v>20</v>
      </c>
      <c r="F3" s="16" t="s">
        <v>21</v>
      </c>
      <c r="G3" s="5" t="s">
        <v>22</v>
      </c>
    </row>
    <row r="4" spans="2:7">
      <c r="B4" s="6" t="s">
        <v>23</v>
      </c>
      <c r="C4" s="1" t="s">
        <v>24</v>
      </c>
      <c r="D4" s="52" t="b">
        <v>1</v>
      </c>
      <c r="E4" s="2" t="b">
        <v>1</v>
      </c>
      <c r="F4" s="2" t="b">
        <v>1</v>
      </c>
    </row>
    <row r="5" spans="2:7">
      <c r="B5" s="6"/>
      <c r="C5" s="1" t="s">
        <v>25</v>
      </c>
      <c r="D5" s="53" t="b">
        <v>1</v>
      </c>
      <c r="E5" s="2" t="b">
        <v>1</v>
      </c>
      <c r="F5" s="2" t="b">
        <v>1</v>
      </c>
      <c r="G5" s="1" t="s">
        <v>26</v>
      </c>
    </row>
    <row r="6" spans="2:7">
      <c r="B6" s="6"/>
      <c r="C6" s="12" t="s">
        <v>27</v>
      </c>
      <c r="D6" s="53" t="b">
        <v>1</v>
      </c>
      <c r="E6" s="2" t="b">
        <v>1</v>
      </c>
      <c r="F6" s="2" t="b">
        <v>1</v>
      </c>
      <c r="G6" s="1" t="s">
        <v>26</v>
      </c>
    </row>
    <row r="7" spans="2:7">
      <c r="B7" s="6"/>
      <c r="C7" s="12" t="s">
        <v>28</v>
      </c>
      <c r="D7" s="53" t="b">
        <v>0</v>
      </c>
      <c r="E7" s="2" t="b">
        <v>1</v>
      </c>
      <c r="F7" s="2" t="b">
        <v>1</v>
      </c>
      <c r="G7" s="1" t="s">
        <v>26</v>
      </c>
    </row>
    <row r="8" spans="2:7">
      <c r="B8" s="6"/>
      <c r="C8" s="12" t="s">
        <v>29</v>
      </c>
      <c r="D8" s="53" t="b">
        <v>1</v>
      </c>
      <c r="E8" s="2" t="b">
        <v>1</v>
      </c>
      <c r="F8" s="2" t="b">
        <v>1</v>
      </c>
      <c r="G8" s="1" t="s">
        <v>30</v>
      </c>
    </row>
    <row r="9" spans="2:7">
      <c r="B9" s="6"/>
      <c r="C9" s="12" t="s">
        <v>31</v>
      </c>
      <c r="D9" s="53" t="b">
        <v>1</v>
      </c>
      <c r="E9" s="2" t="b">
        <v>1</v>
      </c>
      <c r="F9" s="2" t="b">
        <v>1</v>
      </c>
      <c r="G9" s="1" t="s">
        <v>30</v>
      </c>
    </row>
    <row r="10" spans="2:7">
      <c r="B10" s="6"/>
      <c r="C10" s="12" t="s">
        <v>32</v>
      </c>
      <c r="D10" s="53" t="b">
        <v>0</v>
      </c>
      <c r="E10" s="2" t="b">
        <v>1</v>
      </c>
      <c r="F10" s="2" t="b">
        <v>1</v>
      </c>
      <c r="G10" s="1" t="s">
        <v>30</v>
      </c>
    </row>
    <row r="11" spans="2:7">
      <c r="B11" s="7" t="s">
        <v>33</v>
      </c>
      <c r="C11" s="13" t="s">
        <v>34</v>
      </c>
      <c r="D11" s="54" t="b">
        <v>1</v>
      </c>
      <c r="E11" s="8" t="b">
        <v>1</v>
      </c>
      <c r="F11" s="8" t="b">
        <v>1</v>
      </c>
      <c r="G11" s="10" t="s">
        <v>35</v>
      </c>
    </row>
    <row r="12" spans="2:7">
      <c r="B12" s="6"/>
      <c r="C12" s="12" t="s">
        <v>36</v>
      </c>
      <c r="D12" s="53" t="b">
        <v>0</v>
      </c>
      <c r="E12" s="2" t="b">
        <v>1</v>
      </c>
      <c r="F12" s="2" t="b">
        <v>1</v>
      </c>
      <c r="G12" s="1" t="s">
        <v>35</v>
      </c>
    </row>
    <row r="13" spans="2:7">
      <c r="B13" s="6"/>
      <c r="C13" s="12" t="s">
        <v>37</v>
      </c>
      <c r="D13" s="53" t="b">
        <v>1</v>
      </c>
      <c r="E13" s="2" t="b">
        <v>1</v>
      </c>
      <c r="F13" s="2" t="b">
        <v>1</v>
      </c>
      <c r="G13" s="1" t="s">
        <v>35</v>
      </c>
    </row>
    <row r="14" spans="2:7">
      <c r="B14" s="6"/>
      <c r="C14" s="12" t="s">
        <v>38</v>
      </c>
      <c r="D14" s="53" t="b">
        <v>1</v>
      </c>
      <c r="E14" s="2" t="b">
        <v>1</v>
      </c>
      <c r="F14" s="2" t="b">
        <v>1</v>
      </c>
      <c r="G14" s="1" t="s">
        <v>35</v>
      </c>
    </row>
    <row r="15" spans="2:7">
      <c r="B15" s="6"/>
      <c r="C15" s="12" t="s">
        <v>39</v>
      </c>
      <c r="D15" s="53" t="b">
        <v>0</v>
      </c>
      <c r="E15" s="2" t="b">
        <v>1</v>
      </c>
      <c r="F15" s="2" t="b">
        <v>1</v>
      </c>
      <c r="G15" s="1" t="s">
        <v>35</v>
      </c>
    </row>
    <row r="16" spans="2:7">
      <c r="B16" s="6"/>
      <c r="C16" s="12" t="s">
        <v>40</v>
      </c>
      <c r="D16" s="53" t="b">
        <v>0</v>
      </c>
      <c r="E16" s="2" t="b">
        <v>1</v>
      </c>
      <c r="F16" s="2" t="b">
        <v>1</v>
      </c>
      <c r="G16" s="1" t="s">
        <v>35</v>
      </c>
    </row>
    <row r="17" spans="2:7">
      <c r="B17" s="7" t="s">
        <v>41</v>
      </c>
      <c r="C17" s="13" t="s">
        <v>42</v>
      </c>
      <c r="D17" s="54" t="b">
        <v>1</v>
      </c>
      <c r="E17" s="8" t="b">
        <v>1</v>
      </c>
      <c r="F17" s="8" t="b">
        <v>1</v>
      </c>
      <c r="G17" s="10"/>
    </row>
    <row r="18" spans="2:7">
      <c r="B18" s="6"/>
      <c r="C18" s="12" t="s">
        <v>43</v>
      </c>
      <c r="D18" s="53" t="b">
        <v>1</v>
      </c>
      <c r="E18" s="2" t="b">
        <v>1</v>
      </c>
      <c r="F18" s="2" t="b">
        <v>1</v>
      </c>
      <c r="G18" s="1" t="s">
        <v>44</v>
      </c>
    </row>
    <row r="19" spans="2:7">
      <c r="B19" s="6"/>
      <c r="C19" s="12" t="s">
        <v>45</v>
      </c>
      <c r="D19" s="53" t="b">
        <v>1</v>
      </c>
      <c r="E19" s="2" t="b">
        <v>1</v>
      </c>
      <c r="F19" s="2" t="b">
        <v>1</v>
      </c>
      <c r="G19" s="1" t="s">
        <v>44</v>
      </c>
    </row>
    <row r="20" spans="2:7">
      <c r="B20" s="6"/>
      <c r="C20" s="12" t="s">
        <v>46</v>
      </c>
      <c r="D20" s="53" t="b">
        <v>1</v>
      </c>
      <c r="E20" s="2" t="b">
        <v>1</v>
      </c>
      <c r="F20" s="2" t="b">
        <v>1</v>
      </c>
      <c r="G20" s="1" t="s">
        <v>44</v>
      </c>
    </row>
    <row r="21" spans="2:7">
      <c r="B21" s="6"/>
      <c r="C21" s="12" t="s">
        <v>47</v>
      </c>
      <c r="D21" s="53" t="b">
        <v>0</v>
      </c>
      <c r="E21" s="2" t="b">
        <v>1</v>
      </c>
      <c r="F21" s="2" t="b">
        <v>1</v>
      </c>
    </row>
    <row r="22" spans="2:7">
      <c r="B22" s="6" t="s">
        <v>48</v>
      </c>
      <c r="C22" s="13" t="s">
        <v>48</v>
      </c>
      <c r="D22" s="54" t="b">
        <v>0</v>
      </c>
      <c r="E22" s="8" t="b">
        <v>1</v>
      </c>
      <c r="F22" s="8" t="b">
        <v>1</v>
      </c>
      <c r="G22" s="10"/>
    </row>
    <row r="23" spans="2:7">
      <c r="B23" s="6"/>
      <c r="C23" s="32" t="s">
        <v>49</v>
      </c>
      <c r="D23" s="53" t="b">
        <v>0</v>
      </c>
      <c r="E23" s="2" t="b">
        <v>0</v>
      </c>
      <c r="F23" s="2" t="b">
        <v>1</v>
      </c>
    </row>
    <row r="24" spans="2:7">
      <c r="B24" s="6"/>
      <c r="C24" s="15" t="s">
        <v>50</v>
      </c>
      <c r="D24" s="55" t="b">
        <v>0</v>
      </c>
      <c r="E24" s="9" t="b">
        <v>1</v>
      </c>
      <c r="F24" s="9" t="b">
        <v>0</v>
      </c>
      <c r="G24" s="11"/>
    </row>
    <row r="25" spans="2:7">
      <c r="B25" s="7" t="s">
        <v>51</v>
      </c>
      <c r="C25" s="12" t="s">
        <v>52</v>
      </c>
      <c r="D25" s="53" t="b">
        <v>0</v>
      </c>
      <c r="E25" s="2" t="b">
        <v>1</v>
      </c>
      <c r="F25" s="2" t="b">
        <v>1</v>
      </c>
      <c r="G25" s="1" t="s">
        <v>53</v>
      </c>
    </row>
    <row r="26" spans="2:7">
      <c r="B26" s="6"/>
      <c r="C26" s="12" t="s">
        <v>54</v>
      </c>
      <c r="D26" s="53" t="b">
        <v>0</v>
      </c>
      <c r="E26" s="2" t="b">
        <v>1</v>
      </c>
      <c r="F26" s="2" t="b">
        <v>1</v>
      </c>
      <c r="G26" s="1" t="s">
        <v>53</v>
      </c>
    </row>
    <row r="27" spans="2:7">
      <c r="B27" s="6"/>
      <c r="C27" s="12" t="s">
        <v>55</v>
      </c>
      <c r="D27" s="53" t="b">
        <v>0</v>
      </c>
      <c r="E27" s="2" t="b">
        <v>1</v>
      </c>
      <c r="F27" s="2" t="b">
        <v>0</v>
      </c>
      <c r="G27" s="1" t="s">
        <v>47</v>
      </c>
    </row>
    <row r="28" spans="2:7">
      <c r="B28" s="6"/>
      <c r="C28" s="12" t="s">
        <v>56</v>
      </c>
      <c r="D28" s="53" t="b">
        <v>0</v>
      </c>
      <c r="E28" s="2" t="b">
        <v>1</v>
      </c>
      <c r="F28" s="2" t="b">
        <v>0</v>
      </c>
      <c r="G28" s="1" t="s">
        <v>40</v>
      </c>
    </row>
    <row r="29" spans="2:7">
      <c r="C29" s="12" t="s">
        <v>57</v>
      </c>
      <c r="D29" s="53" t="b">
        <v>0</v>
      </c>
      <c r="E29" s="2" t="b">
        <v>1</v>
      </c>
      <c r="F29" s="2" t="b">
        <v>0</v>
      </c>
      <c r="G29" s="1" t="s">
        <v>58</v>
      </c>
    </row>
    <row r="30" spans="2:7">
      <c r="C30" s="32" t="s">
        <v>59</v>
      </c>
      <c r="D30" s="53" t="b">
        <v>0</v>
      </c>
      <c r="E30" s="2" t="b">
        <v>1</v>
      </c>
      <c r="F30" s="2" t="b">
        <v>0</v>
      </c>
      <c r="G30" s="1" t="s">
        <v>46</v>
      </c>
    </row>
    <row r="31" spans="2:7">
      <c r="C31" s="32" t="s">
        <v>60</v>
      </c>
      <c r="D31" s="53" t="b">
        <v>0</v>
      </c>
      <c r="E31" s="2" t="b">
        <v>1</v>
      </c>
      <c r="F31" s="2" t="b">
        <v>1</v>
      </c>
      <c r="G31" s="1" t="s">
        <v>25</v>
      </c>
    </row>
    <row r="32" spans="2:7">
      <c r="C32" s="32" t="s">
        <v>61</v>
      </c>
      <c r="D32" s="53" t="b">
        <v>0</v>
      </c>
      <c r="E32" s="2" t="b">
        <v>1</v>
      </c>
      <c r="F32" s="2" t="b">
        <v>1</v>
      </c>
      <c r="G32" s="1" t="s">
        <v>25</v>
      </c>
    </row>
    <row r="34" spans="2:2">
      <c r="B34" s="84" t="s">
        <v>62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4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zoomScale="159" zoomScaleNormal="176" workbookViewId="0">
      <selection activeCell="E11" sqref="E11"/>
    </sheetView>
  </sheetViews>
  <sheetFormatPr defaultColWidth="9.140625" defaultRowHeight="15"/>
  <cols>
    <col min="1" max="1" width="2.85546875" style="1" customWidth="1"/>
    <col min="2" max="2" width="16.7109375" style="35" bestFit="1" customWidth="1"/>
    <col min="3" max="3" width="20.140625" style="1" bestFit="1" customWidth="1"/>
    <col min="4" max="4" width="5.5703125" style="1" bestFit="1" customWidth="1"/>
    <col min="5" max="6" width="9.140625" style="1" customWidth="1"/>
    <col min="7" max="7" width="4.28515625" style="1" customWidth="1"/>
    <col min="8" max="9" width="9.140625" style="1" customWidth="1"/>
    <col min="10" max="10" width="72.7109375" style="1" customWidth="1"/>
    <col min="11" max="11" width="14.42578125" style="36" customWidth="1"/>
    <col min="12" max="12" width="9.140625" style="1" bestFit="1" customWidth="1"/>
    <col min="13" max="13" width="9.85546875" style="1" customWidth="1"/>
    <col min="14" max="14" width="9.140625" style="1" customWidth="1"/>
    <col min="15" max="16384" width="9.140625" style="1"/>
  </cols>
  <sheetData>
    <row r="2" spans="2:13" s="30" customFormat="1" ht="18.75" customHeight="1">
      <c r="B2" s="41" t="s">
        <v>5</v>
      </c>
      <c r="C2" s="29"/>
      <c r="D2" s="29"/>
      <c r="E2" s="29"/>
      <c r="F2" s="29"/>
      <c r="G2" s="29"/>
      <c r="J2" s="28" t="s">
        <v>63</v>
      </c>
      <c r="K2" s="57"/>
    </row>
    <row r="3" spans="2:13">
      <c r="C3" s="7" t="s">
        <v>18</v>
      </c>
      <c r="D3" s="7" t="s">
        <v>64</v>
      </c>
      <c r="E3" s="20" t="s">
        <v>20</v>
      </c>
      <c r="F3" s="20" t="s">
        <v>21</v>
      </c>
      <c r="G3" s="7" t="s">
        <v>65</v>
      </c>
    </row>
    <row r="4" spans="2:13" ht="15" customHeight="1">
      <c r="B4" s="35" t="str" cm="1">
        <f t="array" ref="B4:C32">_xlfn.LET(_xlpm.bereich,'Angebotene Kurse'!$B$4:$C$32,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66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FALSCH (12)</v>
      </c>
    </row>
    <row r="5" spans="2:13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0" si="0">IF((F5+E5)*2&gt;0,(F5+E5)*2,"")</f>
        <v/>
      </c>
      <c r="J5" s="1" t="s">
        <v>67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68</v>
      </c>
    </row>
    <row r="7" spans="2:13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69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>
      <c r="B8" s="35" t="str">
        <v/>
      </c>
      <c r="C8" s="1" t="str">
        <v>Musik</v>
      </c>
      <c r="E8" s="2" t="b">
        <v>0</v>
      </c>
      <c r="F8" s="2" t="b">
        <v>0</v>
      </c>
      <c r="G8" s="1" t="str">
        <f t="shared" si="0"/>
        <v/>
      </c>
      <c r="J8" s="1" t="s">
        <v>70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>
      <c r="B9" s="35" t="str">
        <v/>
      </c>
      <c r="C9" s="1" t="str">
        <v>Kunst</v>
      </c>
      <c r="E9" s="2" t="b">
        <v>0</v>
      </c>
      <c r="F9" s="2" t="b">
        <v>0</v>
      </c>
      <c r="G9" s="1" t="str">
        <f t="shared" si="0"/>
        <v/>
      </c>
      <c r="J9" s="1" t="s">
        <v>71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Kurse'!$B$4:$G$28,0,MATCH("Kurs",'Angebotene Kurse'!$B$3:$G$3,0)),
              INDEX('Angebotene Kurse'!$B$4:$G$28,0,MATCH("Typ",'Angebotene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>
      <c r="B10" s="35" t="str">
        <v/>
      </c>
      <c r="C10" s="1" t="str">
        <v>DS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72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>
      <c r="B11" s="35" t="str">
        <v>2. Aufgabenfeld</v>
      </c>
      <c r="C11" s="1" t="str">
        <v>Geschichte</v>
      </c>
      <c r="E11" s="2" t="b">
        <v>0</v>
      </c>
      <c r="F11" s="2" t="b">
        <v>0</v>
      </c>
      <c r="G11" s="1" t="str">
        <f t="shared" si="0"/>
        <v/>
      </c>
      <c r="J11" s="1" t="s">
        <v>73</v>
      </c>
      <c r="K11" s="47" t="b" cm="1">
        <f t="array" ref="K11">_xlfn.LET(
  _xlpm.kopfzeilen,$B$3:$G$3,
  _xlpm.datenbereich,$B$4:$G$33,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>
      <c r="B12" s="35" t="str">
        <v/>
      </c>
      <c r="C12" s="1" t="str">
        <v>Geschichte bili</v>
      </c>
      <c r="E12" s="2" t="b">
        <v>0</v>
      </c>
      <c r="F12" s="2" t="b">
        <v>0</v>
      </c>
      <c r="G12" s="1" t="str">
        <f t="shared" si="0"/>
        <v/>
      </c>
      <c r="J12" s="1" t="s">
        <v>74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>
      <c r="B13" s="35" t="str">
        <v/>
      </c>
      <c r="C13" s="1" t="str">
        <v>Politikwissenschaften</v>
      </c>
      <c r="E13" s="2" t="b">
        <v>0</v>
      </c>
      <c r="F13" s="2" t="b">
        <v>0</v>
      </c>
      <c r="G13" s="1" t="str">
        <f t="shared" si="0"/>
        <v/>
      </c>
      <c r="J13" s="1" t="s">
        <v>75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>
      <c r="B14" s="35" t="str">
        <v/>
      </c>
      <c r="C14" s="1" t="str">
        <v>Geografie</v>
      </c>
      <c r="E14" s="2" t="b">
        <v>0</v>
      </c>
      <c r="F14" s="2" t="b">
        <v>0</v>
      </c>
      <c r="G14" s="1" t="str">
        <f t="shared" si="0"/>
        <v/>
      </c>
      <c r="J14" s="56" t="s">
        <v>76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>
      <c r="B15" s="35" t="str">
        <v/>
      </c>
      <c r="C15" s="1" t="str">
        <v>Geografie bili</v>
      </c>
      <c r="E15" s="2" t="b">
        <v>0</v>
      </c>
      <c r="F15" s="2" t="b">
        <v>0</v>
      </c>
      <c r="G15" s="1" t="str">
        <f t="shared" si="0"/>
        <v/>
      </c>
      <c r="J15" s="1" t="s">
        <v>77</v>
      </c>
      <c r="K15" s="47" t="b" cm="1">
        <f t="array" ref="K15">_xlfn.LET(
  _xlpm.KursSp,   INDEX($B$4:$G$33,0,MATCH("Kurs",$B$3:$G$3,0)),
  _xlpm.PFSp,     INDEX($B$4:$G$33,0,MATCH("PF",$B$3:$G$3,0)),
  _xlpm.Halbjahr1,INDEX($B$4:$G$33,0,MATCH("Q1/2",$B$3:$G$3,0)),
  _xlpm.Halbjahr2,INDEX($B$4:$G$33,0,MATCH("Q3/4",$B$3:$G$3,0)),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>
      <c r="B16" s="35" t="str">
        <v/>
      </c>
      <c r="C16" s="1" t="str">
        <v>Philosophie</v>
      </c>
      <c r="E16" s="2" t="b">
        <v>0</v>
      </c>
      <c r="F16" s="2" t="b">
        <v>0</v>
      </c>
      <c r="G16" s="1" t="str">
        <f t="shared" si="0"/>
        <v/>
      </c>
      <c r="J16" s="1" t="s">
        <v>78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>
      <c r="B17" s="35" t="str">
        <v>3. Aufgabenfeld</v>
      </c>
      <c r="C17" s="1" t="str">
        <v>Mathematik</v>
      </c>
      <c r="E17" s="2" t="b">
        <v>1</v>
      </c>
      <c r="F17" s="2" t="b">
        <v>1</v>
      </c>
      <c r="G17" s="1">
        <f t="shared" si="0"/>
        <v>4</v>
      </c>
      <c r="J17" s="7" t="s">
        <v>79</v>
      </c>
    </row>
    <row r="18" spans="2:23">
      <c r="B18" s="35" t="str">
        <v/>
      </c>
      <c r="C18" s="1" t="str">
        <v>Physik</v>
      </c>
      <c r="E18" s="2" t="b">
        <v>0</v>
      </c>
      <c r="F18" s="2" t="b">
        <v>0</v>
      </c>
      <c r="G18" s="1" t="str">
        <f t="shared" si="0"/>
        <v/>
      </c>
      <c r="J18" s="1" t="s">
        <v>80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>
      <c r="B19" s="35" t="str">
        <v/>
      </c>
      <c r="C19" s="1" t="str">
        <v>Chemie</v>
      </c>
      <c r="E19" s="2" t="b">
        <v>0</v>
      </c>
      <c r="F19" s="2" t="b">
        <v>0</v>
      </c>
      <c r="G19" s="1" t="str">
        <f t="shared" si="0"/>
        <v/>
      </c>
      <c r="J19" s="1" t="s">
        <v>81</v>
      </c>
      <c r="K19" s="36" t="b" cm="1">
        <f t="array" ref="K19">_xlfn.LET(
  _xlpm.KursSp,INDEX($B$4:$G$33,0,MATCH("Kurs",$B$3:$G$3,0)),
  _xlpm.Halbjahr1,INDEX($B$4:$G$33,0,MATCH("Q1/2",$B$3:$G$3,0)),
  _xlpm.Halbjahr2,INDEX($B$4:$G$33,0,MATCH("Q3/4",$B$3:$G$3,0)),
  _xlpm.Kurs_FS,_xlfn._xlws.FILTER(
            INDEX('Angebotene Kurse'!$B$4:$G$28,0,MATCH("Kurs",'Angebotene Kurse'!$B$3:$G$3,0)),
            INDEX('Angebotene Kurse'!$B$4:$G$28,0,MATCH("Typ",'Angebotene Kurse'!$B$3:$G$3,0))="Fremdsprache"
          ),
  SUMPRODUCT((_xlpm.Halbjahr1=TRUE)*(_xlpm.Halbjahr2=TRUE)*ISNUMBER(MATCH(_xlpm.KursSp,_xlpm.Kurs_FS,0)))&gt;0
)</f>
        <v>0</v>
      </c>
    </row>
    <row r="20" spans="2:23">
      <c r="B20" s="35" t="str">
        <v/>
      </c>
      <c r="C20" s="1" t="str">
        <v>Biologie</v>
      </c>
      <c r="E20" s="2" t="b">
        <v>0</v>
      </c>
      <c r="F20" s="2" t="b">
        <v>0</v>
      </c>
      <c r="G20" s="1" t="str">
        <f t="shared" si="0"/>
        <v/>
      </c>
      <c r="J20" s="1" t="s">
        <v>82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Kurse'!$B$4:$G$28,0,MATCH("Kurs",'Angebotene Kurse'!$B$3:$G$3,0)),
                INDEX('Angebotene Kurse'!$B$4:$G$28,0,MATCH("Typ",'Angebotene Kurse'!$B$3:$G$3,0))="Künstlerisch"
              ),
  SUMPRODUCT(((_xlpm.Halbjahr1=TRUE)+(_xlpm.Halbjahr2=TRUE)&gt;0)*ISNUMBER(MATCH(_xlpm.KursSp,_xlpm.Kurs_KUNST,0)))&gt;0
)</f>
        <v>0</v>
      </c>
    </row>
    <row r="21" spans="2:23">
      <c r="B21" s="35" t="str">
        <v/>
      </c>
      <c r="C21" s="1" t="str">
        <v>Informatik</v>
      </c>
      <c r="E21" s="2" t="b">
        <v>0</v>
      </c>
      <c r="F21" s="2" t="b">
        <v>0</v>
      </c>
      <c r="G21" s="1" t="str">
        <f t="shared" si="0"/>
        <v/>
      </c>
      <c r="J21" s="7" t="s">
        <v>83</v>
      </c>
    </row>
    <row r="22" spans="2:23" ht="15" customHeight="1">
      <c r="B22" s="35" t="str">
        <v>Sport</v>
      </c>
      <c r="C22" s="1" t="str">
        <v>Sport</v>
      </c>
      <c r="E22" s="2" t="b">
        <v>1</v>
      </c>
      <c r="F22" s="2" t="b">
        <v>1</v>
      </c>
      <c r="G22" s="1">
        <f t="shared" si="0"/>
        <v>4</v>
      </c>
      <c r="H22" s="25"/>
      <c r="J22" s="1" t="s">
        <v>84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>
      <c r="B23" s="35" t="str">
        <v/>
      </c>
      <c r="C23" s="1" t="str">
        <v>Sport Theorie</v>
      </c>
      <c r="E23" s="2" t="b">
        <v>0</v>
      </c>
      <c r="F23" s="2" t="b">
        <v>0</v>
      </c>
      <c r="G23" s="1" t="str">
        <f t="shared" si="0"/>
        <v/>
      </c>
      <c r="J23" s="1" t="s">
        <v>85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</row>
    <row r="24" spans="2:23">
      <c r="B24" s="35" t="str">
        <v/>
      </c>
      <c r="C24" s="1" t="str">
        <v>Skifahrt</v>
      </c>
      <c r="E24" s="2" t="b">
        <v>0</v>
      </c>
      <c r="F24" s="2" t="b">
        <v>0</v>
      </c>
      <c r="G24" s="1" t="str">
        <f>IF((F24+E24)&gt;0,(F24+E24),"")</f>
        <v/>
      </c>
      <c r="J24" s="1" t="s">
        <v>86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</row>
    <row r="25" spans="2:23">
      <c r="B25" s="35" t="str">
        <v>Zusatzkurse</v>
      </c>
      <c r="C25" s="1" t="str">
        <v>Chor</v>
      </c>
      <c r="E25" s="2" t="b">
        <v>0</v>
      </c>
      <c r="F25" s="2" t="b">
        <v>0</v>
      </c>
      <c r="G25" s="1" t="str">
        <f t="shared" si="0"/>
        <v/>
      </c>
      <c r="J25" s="1" t="s">
        <v>87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>
      <c r="B26" s="35" t="str">
        <v/>
      </c>
      <c r="C26" s="1" t="str">
        <v>Orchester</v>
      </c>
      <c r="E26" s="2" t="b">
        <v>0</v>
      </c>
      <c r="F26" s="2" t="b">
        <v>0</v>
      </c>
      <c r="G26" s="1" t="str">
        <f t="shared" si="0"/>
        <v/>
      </c>
      <c r="J26" s="7" t="s">
        <v>88</v>
      </c>
    </row>
    <row r="27" spans="2:23">
      <c r="B27" s="35" t="str">
        <v/>
      </c>
      <c r="C27" s="1" t="str">
        <v>Digitale Welten</v>
      </c>
      <c r="E27" s="2" t="b">
        <v>0</v>
      </c>
      <c r="F27" s="2" t="b">
        <v>0</v>
      </c>
      <c r="G27" s="1" t="str">
        <f t="shared" si="0"/>
        <v/>
      </c>
      <c r="J27" s="1" t="s">
        <v>89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>
      <c r="B28" s="35" t="str">
        <v/>
      </c>
      <c r="C28" s="1" t="str">
        <v>Neuro</v>
      </c>
      <c r="E28" s="2" t="b">
        <v>0</v>
      </c>
      <c r="F28" s="2" t="b">
        <v>0</v>
      </c>
      <c r="G28" s="1" t="str">
        <f t="shared" si="0"/>
        <v/>
      </c>
      <c r="J28" s="1" t="s">
        <v>90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Kurse'!$B$4:$G$28,0,MATCH("Kurs",'Angebotene Kurse'!$B$3:$G$3,0)),
              INDEX('Angebotene Kurse'!$B$4:$G$28,0,MATCH("Typ",'Angebotene Kurse'!$B$3:$G$3,0))="Naturwissenschaft"
            ),
  SUMPRODUCT((_xlpm.Halbjahr1=TRUE)*(_xlpm.Halbjahr2=TRUE)*ISNUMBER(MATCH(_xlpm.KursSp,_xlpm.Kurs_NW,0)))&gt;0
)</f>
        <v>0</v>
      </c>
    </row>
    <row r="29" spans="2:23">
      <c r="B29" s="35" t="str">
        <v/>
      </c>
      <c r="C29" s="1" t="str">
        <v>STUB</v>
      </c>
      <c r="E29" s="2" t="b">
        <v>0</v>
      </c>
      <c r="F29" s="2" t="b">
        <v>0</v>
      </c>
      <c r="G29" s="1" t="str">
        <f t="shared" si="0"/>
        <v/>
      </c>
      <c r="J29" s="1" t="s">
        <v>91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>
      <c r="B30" s="35" t="str">
        <v/>
      </c>
      <c r="C30" s="1" t="str">
        <v>Sportmedizin</v>
      </c>
      <c r="E30" s="2" t="b">
        <v>0</v>
      </c>
      <c r="F30" s="2" t="b">
        <v>0</v>
      </c>
      <c r="G30" s="1" t="str">
        <f t="shared" si="0"/>
        <v/>
      </c>
      <c r="J30" s="1" t="s">
        <v>92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>
      <c r="B31" s="35" t="str">
        <v/>
      </c>
      <c r="C31" s="1" t="str">
        <v>CCC</v>
      </c>
      <c r="E31" s="2" t="b">
        <v>0</v>
      </c>
      <c r="F31" s="2" t="b">
        <v>0</v>
      </c>
      <c r="J31" s="35" t="s">
        <v>93</v>
      </c>
    </row>
    <row r="32" spans="2:23">
      <c r="B32" s="35" t="str">
        <v/>
      </c>
      <c r="C32" s="1" t="str">
        <v>Debating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94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>
      <c r="B33" s="35" t="s">
        <v>95</v>
      </c>
      <c r="E33" s="36">
        <f>COUNTIF(E4:E23, TRUE)+COUNTIF(E25:E32, TRUE)</f>
        <v>3</v>
      </c>
      <c r="F33" s="36">
        <f>COUNTIF(F4:F23, TRUE)+COUNTIF(F25:F32, TRUE)</f>
        <v>3</v>
      </c>
      <c r="G33" s="1">
        <f>SUM(G4:G32)</f>
        <v>12</v>
      </c>
      <c r="J33" s="1" t="s">
        <v>96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>
      <c r="J34" s="31"/>
      <c r="K34" s="31"/>
    </row>
    <row r="35" spans="2:21">
      <c r="B35" s="31" t="s">
        <v>97</v>
      </c>
      <c r="I35" s="31"/>
      <c r="J35" s="84" t="s">
        <v>62</v>
      </c>
      <c r="K35" s="31"/>
    </row>
    <row r="36" spans="2:21">
      <c r="B36" s="31"/>
      <c r="J36" s="31"/>
      <c r="K36" s="31"/>
    </row>
    <row r="37" spans="2:21" ht="15" customHeight="1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7"/>
      <c r="M37" s="77"/>
      <c r="N37" s="77"/>
      <c r="O37" s="77"/>
      <c r="P37" s="77"/>
      <c r="Q37" s="77"/>
      <c r="R37" s="77"/>
      <c r="S37" s="77"/>
      <c r="T37" s="77"/>
      <c r="U37" s="77"/>
    </row>
    <row r="38" spans="2:21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7"/>
      <c r="M38" s="77"/>
      <c r="N38" s="77"/>
      <c r="O38" s="77"/>
      <c r="P38" s="77"/>
      <c r="Q38" s="77"/>
      <c r="R38" s="77"/>
      <c r="S38" s="77"/>
      <c r="T38" s="77"/>
      <c r="U38" s="77"/>
    </row>
    <row r="39" spans="2:21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>
      <c r="J40" s="22"/>
      <c r="K40" s="77"/>
    </row>
    <row r="41" spans="2:21">
      <c r="B41" s="56"/>
    </row>
    <row r="42" spans="2:21">
      <c r="B42" s="56"/>
    </row>
    <row r="43" spans="2:21">
      <c r="B43" s="56"/>
    </row>
    <row r="44" spans="2:21">
      <c r="B44" s="56"/>
    </row>
    <row r="45" spans="2:21">
      <c r="B45" s="56"/>
    </row>
    <row r="46" spans="2:21">
      <c r="B46" s="56"/>
    </row>
    <row r="47" spans="2:21">
      <c r="B47" s="56"/>
    </row>
    <row r="48" spans="2:21">
      <c r="B48" s="56"/>
    </row>
    <row r="49" spans="2:2">
      <c r="B49" s="56"/>
    </row>
    <row r="50" spans="2:2">
      <c r="B50" s="56"/>
    </row>
    <row r="51" spans="2:2">
      <c r="B51" s="56"/>
    </row>
    <row r="52" spans="2:2">
      <c r="B52" s="56"/>
    </row>
    <row r="53" spans="2:2">
      <c r="B53" s="56"/>
    </row>
    <row r="54" spans="2:2">
      <c r="B54" s="56"/>
    </row>
    <row r="55" spans="2:2">
      <c r="B55" s="56"/>
    </row>
    <row r="56" spans="2:2">
      <c r="B56" s="56"/>
    </row>
    <row r="57" spans="2:2">
      <c r="B57" s="56"/>
    </row>
    <row r="58" spans="2:2">
      <c r="B58" s="56"/>
    </row>
    <row r="59" spans="2:2">
      <c r="B59" s="56"/>
    </row>
    <row r="60" spans="2:2">
      <c r="B60" s="56"/>
    </row>
    <row r="61" spans="2:2">
      <c r="B61" s="56"/>
    </row>
    <row r="62" spans="2:2">
      <c r="B62" s="56"/>
    </row>
    <row r="63" spans="2:2">
      <c r="B63" s="56"/>
    </row>
    <row r="64" spans="2:2">
      <c r="B64" s="56"/>
    </row>
    <row r="65" spans="2:2">
      <c r="B65" s="56"/>
    </row>
    <row r="66" spans="2:2">
      <c r="B66" s="56"/>
    </row>
    <row r="67" spans="2:2">
      <c r="B67" s="56"/>
    </row>
    <row r="68" spans="2:2">
      <c r="B68" s="56"/>
    </row>
    <row r="69" spans="2:2">
      <c r="B69" s="56"/>
    </row>
    <row r="70" spans="2:2">
      <c r="B70" s="56"/>
    </row>
    <row r="71" spans="2:2">
      <c r="B71" s="56"/>
    </row>
    <row r="72" spans="2:2">
      <c r="B72" s="56"/>
    </row>
    <row r="73" spans="2:2">
      <c r="B73" s="56"/>
    </row>
    <row r="74" spans="2:2">
      <c r="B74" s="56"/>
    </row>
    <row r="75" spans="2:2">
      <c r="B75" s="56"/>
    </row>
    <row r="76" spans="2:2">
      <c r="B76" s="56"/>
    </row>
    <row r="77" spans="2:2">
      <c r="B77" s="56"/>
    </row>
    <row r="78" spans="2:2">
      <c r="B78" s="56"/>
    </row>
    <row r="79" spans="2:2">
      <c r="B79" s="56"/>
    </row>
    <row r="80" spans="2:2">
      <c r="B80" s="56"/>
    </row>
    <row r="81" spans="2:2">
      <c r="B81" s="56"/>
    </row>
    <row r="82" spans="2:2">
      <c r="B82" s="56"/>
    </row>
    <row r="83" spans="2:2">
      <c r="B83" s="56"/>
    </row>
    <row r="84" spans="2:2">
      <c r="B84" s="56"/>
    </row>
    <row r="85" spans="2:2">
      <c r="B85" s="56"/>
    </row>
    <row r="86" spans="2:2">
      <c r="B86" s="56"/>
    </row>
    <row r="87" spans="2:2">
      <c r="B87" s="56"/>
    </row>
    <row r="88" spans="2:2">
      <c r="B88" s="56"/>
    </row>
    <row r="89" spans="2:2">
      <c r="B89" s="56"/>
    </row>
    <row r="90" spans="2: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2" name="Bereich1"/>
    <protectedRange sqref="E4:F32" name="Bereich2"/>
  </protectedRanges>
  <conditionalFormatting sqref="B31">
    <cfRule type="expression" dxfId="65" priority="7">
      <formula>OR(AND($C31="Kurs",COLUMN()&lt;&gt;COLUMN($B:$B)), $B32="ALLE")</formula>
    </cfRule>
  </conditionalFormatting>
  <conditionalFormatting sqref="B35">
    <cfRule type="expression" dxfId="64" priority="146">
      <formula>OR(AND($C29="Kurs",COLUMN()&lt;&gt;COLUMN($B:$B)), #REF!="ALLE")</formula>
    </cfRule>
  </conditionalFormatting>
  <conditionalFormatting sqref="B36">
    <cfRule type="expression" dxfId="63" priority="147">
      <formula>OR(AND($C35="Kurs",COLUMN()&lt;&gt;COLUMN($B:$B)), #REF!="ALLE")</formula>
    </cfRule>
  </conditionalFormatting>
  <conditionalFormatting sqref="B3:G28 G25:G29 B32:G32 C36:G36 B37 B40:G70">
    <cfRule type="expression" dxfId="62" priority="21">
      <formula>OR(AND($C3="Kurs",COLUMN()&lt;&gt;COLUMN($B:$B)), $B4="ALLE")</formula>
    </cfRule>
  </conditionalFormatting>
  <conditionalFormatting sqref="B29:G29">
    <cfRule type="expression" dxfId="61" priority="175">
      <formula>OR(AND($C29="Kurs",COLUMN()&lt;&gt;COLUMN($B:$B)), $B32="ALLE")</formula>
    </cfRule>
  </conditionalFormatting>
  <conditionalFormatting sqref="B33:G33 C35:G35">
    <cfRule type="expression" dxfId="60" priority="98">
      <formula>OR(AND($C33="Kurs",COLUMN()&lt;&gt;COLUMN($B:$B)), #REF!="ALLE")</formula>
    </cfRule>
  </conditionalFormatting>
  <conditionalFormatting sqref="C4:C40">
    <cfRule type="expression" dxfId="59" priority="27">
      <formula>LEN($C4&amp;"")&gt;0</formula>
    </cfRule>
  </conditionalFormatting>
  <conditionalFormatting sqref="C32">
    <cfRule type="expression" dxfId="58" priority="1">
      <formula>AND(LEN($B32&amp;"")&gt;0, NOT($B32="ALLE"), NOT($C30=""))</formula>
    </cfRule>
  </conditionalFormatting>
  <conditionalFormatting sqref="C30:F30 G32">
    <cfRule type="expression" dxfId="57" priority="14">
      <formula>AND(LEN($B30&amp;"")&gt;0, NOT($B30="ALLE"), NOT($C28=""))</formula>
    </cfRule>
  </conditionalFormatting>
  <conditionalFormatting sqref="C4:G29 G25:G30 C33:G33 C40:G70">
    <cfRule type="expression" dxfId="56" priority="24">
      <formula>AND(LEN($B4&amp;"")&gt;0, NOT($B4="ALLE"), NOT($C3=""))</formula>
    </cfRule>
  </conditionalFormatting>
  <conditionalFormatting sqref="C30:G30">
    <cfRule type="expression" dxfId="55" priority="99">
      <formula>OR(AND($C30="Kurs",COLUMN()&lt;&gt;COLUMN($B:$B)), $B32="ALLE")</formula>
    </cfRule>
  </conditionalFormatting>
  <conditionalFormatting sqref="C32:G32">
    <cfRule type="expression" dxfId="54" priority="183">
      <formula>AND(LEN($B32&amp;"")&gt;0, NOT($B32="ALLE"), NOT($C29=""))</formula>
    </cfRule>
  </conditionalFormatting>
  <conditionalFormatting sqref="C34:G34">
    <cfRule type="expression" dxfId="53" priority="163">
      <formula>OR(AND($C34="Kurs",COLUMN()&lt;&gt;COLUMN($B:$B)), $B36="ALLE")</formula>
    </cfRule>
    <cfRule type="expression" dxfId="52" priority="164">
      <formula>AND(LEN(#REF!&amp;"")&gt;0, NOT(#REF!="ALLE"), NOT(#REF!=""))</formula>
    </cfRule>
  </conditionalFormatting>
  <conditionalFormatting sqref="C35:G35">
    <cfRule type="expression" dxfId="51" priority="165">
      <formula>AND(LEN($B36&amp;"")&gt;0, NOT($B36="ALLE"), NOT($C34=""))</formula>
    </cfRule>
  </conditionalFormatting>
  <conditionalFormatting sqref="C36:G36">
    <cfRule type="expression" dxfId="50" priority="166">
      <formula>AND(LEN(#REF!&amp;"")&gt;0, NOT(#REF!="ALLE"), NOT(#REF!=""))</formula>
    </cfRule>
  </conditionalFormatting>
  <conditionalFormatting sqref="D4:D36 D40:D70">
    <cfRule type="expression" dxfId="49" priority="25">
      <formula>LEN($C4&amp;"")&gt;0</formula>
    </cfRule>
  </conditionalFormatting>
  <conditionalFormatting sqref="D31:F31">
    <cfRule type="expression" dxfId="48" priority="8">
      <formula>OR(AND($C31="Kurs",COLUMN()&lt;&gt;COLUMN($B:$B)), $B32="ALLE")</formula>
    </cfRule>
    <cfRule type="expression" dxfId="47" priority="9">
      <formula>AND(LEN($B31&amp;"")&gt;0, NOT($B31="ALLE"), NOT($C28=""))</formula>
    </cfRule>
  </conditionalFormatting>
  <conditionalFormatting sqref="K4:K33">
    <cfRule type="expression" dxfId="46" priority="28">
      <formula>OR(ISNUMBER(FIND("FALSCH",K4&amp;"")), ISNUMBER(FIND("FALSE",K4&amp;"")))</formula>
    </cfRule>
    <cfRule type="expression" dxfId="45" priority="29">
      <formula>OR(ISNUMBER(FIND("WAHR",K4&amp;"")), ISNUMBER(FIND("TRUE",K4&amp;"")))</formula>
    </cfRule>
  </conditionalFormatting>
  <dataValidations count="1">
    <dataValidation type="list" allowBlank="1" showInputMessage="1" showErrorMessage="1" sqref="D4:D27" xr:uid="{97EA9CA4-F374-4ED7-9DDB-E1BD0AFED2D9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E4:E32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tabSelected="1" zoomScale="150" zoomScaleNormal="139" workbookViewId="0">
      <selection activeCell="O17" sqref="O17:O18"/>
    </sheetView>
  </sheetViews>
  <sheetFormatPr defaultColWidth="9.140625" defaultRowHeight="15"/>
  <cols>
    <col min="1" max="1" width="2.85546875" style="1" customWidth="1"/>
    <col min="2" max="2" width="16.7109375" style="76" bestFit="1" customWidth="1"/>
    <col min="3" max="3" width="19.42578125" style="1" customWidth="1"/>
    <col min="4" max="4" width="5.5703125" style="1" bestFit="1" customWidth="1"/>
    <col min="5" max="5" width="9.140625" style="1"/>
    <col min="6" max="6" width="2.7109375" style="1" customWidth="1"/>
    <col min="7" max="7" width="9.140625" style="1"/>
    <col min="8" max="8" width="2.7109375" style="1" customWidth="1"/>
    <col min="9" max="9" width="9.140625" style="1"/>
    <col min="10" max="10" width="2.7109375" style="1" customWidth="1"/>
    <col min="11" max="11" width="9.140625" style="1"/>
    <col min="12" max="12" width="2.7109375" style="1" customWidth="1"/>
    <col min="13" max="14" width="9.140625" style="1"/>
    <col min="15" max="15" width="85.7109375" style="1" customWidth="1"/>
    <col min="16" max="16" width="14.42578125" style="36" customWidth="1"/>
    <col min="17" max="17" width="9.140625" style="1"/>
    <col min="18" max="18" width="10.5703125" style="1" bestFit="1" customWidth="1"/>
    <col min="19" max="16384" width="9.140625" style="1"/>
  </cols>
  <sheetData>
    <row r="2" spans="2:17" s="30" customFormat="1" ht="18.75" customHeight="1">
      <c r="B2" s="28" t="s">
        <v>7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63</v>
      </c>
      <c r="P2" s="57"/>
    </row>
    <row r="3" spans="2:17">
      <c r="C3" s="7" t="s">
        <v>18</v>
      </c>
      <c r="D3" s="7" t="s">
        <v>64</v>
      </c>
      <c r="E3" s="20" t="s">
        <v>98</v>
      </c>
      <c r="F3" s="20"/>
      <c r="G3" s="20" t="s">
        <v>99</v>
      </c>
      <c r="H3" s="20"/>
      <c r="I3" s="20" t="s">
        <v>100</v>
      </c>
      <c r="J3" s="20"/>
      <c r="K3" s="20" t="s">
        <v>101</v>
      </c>
      <c r="L3" s="20"/>
    </row>
    <row r="4" spans="2:17" ht="15" customHeight="1">
      <c r="B4" s="81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12</v>
      </c>
      <c r="F4" s="51" t="b">
        <v>1</v>
      </c>
      <c r="G4" s="34"/>
      <c r="H4" s="51"/>
      <c r="I4" s="34">
        <v>15</v>
      </c>
      <c r="J4" s="51" t="b">
        <v>1</v>
      </c>
      <c r="K4" s="34"/>
      <c r="L4" s="51"/>
      <c r="O4" s="1" t="s">
        <v>102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FALSCH (3)</v>
      </c>
    </row>
    <row r="5" spans="2:17">
      <c r="B5" s="79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/>
      <c r="I5" s="48"/>
      <c r="J5" s="49"/>
      <c r="K5" s="48"/>
      <c r="L5" s="49"/>
      <c r="O5" s="1" t="s">
        <v>103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>
      <c r="B6" s="79" t="str">
        <v>Sport</v>
      </c>
      <c r="C6" s="1" t="str">
        <v>Sport</v>
      </c>
      <c r="D6" s="1" t="str">
        <v/>
      </c>
      <c r="E6" s="48"/>
      <c r="F6" s="49"/>
      <c r="G6" s="48"/>
      <c r="H6" s="49"/>
      <c r="I6" s="48"/>
      <c r="J6" s="49"/>
      <c r="K6" s="48"/>
      <c r="L6" s="49"/>
      <c r="O6" s="1" t="s">
        <v>104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FALSCH (3)</v>
      </c>
    </row>
    <row r="7" spans="2:17">
      <c r="B7" s="79"/>
      <c r="E7" s="48"/>
      <c r="F7" s="49"/>
      <c r="G7" s="48"/>
      <c r="H7" s="49"/>
      <c r="I7" s="48"/>
      <c r="J7" s="49"/>
      <c r="K7" s="48"/>
      <c r="L7" s="49"/>
      <c r="O7" s="1" t="s">
        <v>105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>
      <c r="B8" s="79"/>
      <c r="E8" s="48"/>
      <c r="F8" s="49"/>
      <c r="G8" s="48"/>
      <c r="H8" s="49"/>
      <c r="I8" s="48"/>
      <c r="J8" s="49"/>
      <c r="K8" s="48"/>
      <c r="L8" s="49"/>
      <c r="O8" s="7" t="s">
        <v>106</v>
      </c>
    </row>
    <row r="9" spans="2:17">
      <c r="B9" s="79"/>
      <c r="E9" s="48"/>
      <c r="F9" s="49"/>
      <c r="G9" s="48"/>
      <c r="H9" s="49"/>
      <c r="I9" s="48"/>
      <c r="J9" s="49"/>
      <c r="K9" s="48"/>
      <c r="L9" s="49"/>
      <c r="O9" s="1" t="s">
        <v>107</v>
      </c>
      <c r="P9" s="36" t="b">
        <f>G26&gt;=300</f>
        <v>0</v>
      </c>
    </row>
    <row r="10" spans="2:17">
      <c r="B10" s="79"/>
      <c r="E10" s="48"/>
      <c r="F10" s="49"/>
      <c r="G10" s="48"/>
      <c r="H10" s="49"/>
      <c r="I10" s="48"/>
      <c r="J10" s="49"/>
      <c r="K10" s="48"/>
      <c r="L10" s="49"/>
      <c r="O10" s="1" t="s">
        <v>108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>
      <c r="B11" s="79"/>
      <c r="E11" s="48"/>
      <c r="F11" s="49"/>
      <c r="G11" s="48"/>
      <c r="H11" s="49"/>
      <c r="I11" s="48"/>
      <c r="J11" s="49"/>
      <c r="K11" s="48"/>
      <c r="L11" s="49"/>
      <c r="O11" s="65" t="s">
        <v>109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>
      <c r="B12" s="79"/>
      <c r="E12" s="48"/>
      <c r="F12" s="49"/>
      <c r="G12" s="48"/>
      <c r="H12" s="49"/>
      <c r="I12" s="48"/>
      <c r="J12" s="49"/>
      <c r="K12" s="48"/>
      <c r="L12" s="49"/>
      <c r="O12" s="1" t="s">
        <v>110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1</v>
      </c>
    </row>
    <row r="13" spans="2:17">
      <c r="B13" s="79"/>
      <c r="E13" s="48"/>
      <c r="F13" s="49"/>
      <c r="G13" s="48"/>
      <c r="H13" s="49"/>
      <c r="I13" s="88"/>
      <c r="J13" s="89"/>
      <c r="K13" s="88"/>
      <c r="L13" s="89"/>
      <c r="O13" s="90" t="s">
        <v>111</v>
      </c>
      <c r="P13" s="95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6"/>
    </row>
    <row r="14" spans="2:17">
      <c r="B14" s="79"/>
      <c r="E14" s="48"/>
      <c r="F14" s="49"/>
      <c r="G14" s="48"/>
      <c r="H14" s="49"/>
      <c r="I14" s="88"/>
      <c r="J14" s="89"/>
      <c r="K14" s="88"/>
      <c r="L14" s="89"/>
      <c r="O14" s="90"/>
      <c r="P14" s="95"/>
    </row>
    <row r="15" spans="2:17">
      <c r="B15" s="79"/>
      <c r="E15" s="48"/>
      <c r="F15" s="49"/>
      <c r="G15" s="48"/>
      <c r="H15" s="49"/>
      <c r="I15" s="88"/>
      <c r="J15" s="89"/>
      <c r="K15" s="88"/>
      <c r="L15" s="89"/>
      <c r="O15" s="7" t="s">
        <v>68</v>
      </c>
    </row>
    <row r="16" spans="2:17">
      <c r="B16" s="79"/>
      <c r="E16" s="48"/>
      <c r="F16" s="49"/>
      <c r="G16" s="48"/>
      <c r="H16" s="49"/>
      <c r="I16" s="48"/>
      <c r="J16" s="49"/>
      <c r="K16" s="48"/>
      <c r="L16" s="49"/>
      <c r="O16" s="1" t="s">
        <v>112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>
      <c r="B17" s="79"/>
      <c r="E17" s="48"/>
      <c r="F17" s="49"/>
      <c r="G17" s="48"/>
      <c r="H17" s="49"/>
      <c r="I17" s="48"/>
      <c r="J17" s="49"/>
      <c r="K17" s="48"/>
      <c r="L17" s="49"/>
      <c r="O17" s="96" t="s">
        <v>113</v>
      </c>
      <c r="P17" s="95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>
      <c r="B18" s="79"/>
      <c r="C18" s="7" t="s">
        <v>18</v>
      </c>
      <c r="D18" s="7" t="s">
        <v>64</v>
      </c>
      <c r="E18" s="7" t="s">
        <v>114</v>
      </c>
      <c r="G18" s="7" t="s">
        <v>115</v>
      </c>
      <c r="I18" s="7" t="s">
        <v>116</v>
      </c>
      <c r="O18" s="96"/>
      <c r="P18" s="95"/>
    </row>
    <row r="19" spans="2:16">
      <c r="B19" s="79" t="s">
        <v>117</v>
      </c>
      <c r="C19" s="19" t="str" cm="1">
        <f t="array" ref="C19">_xlfn.LET(
  _xlpm.Tabelle, Kurswahl!B4:G33,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118</v>
      </c>
      <c r="G19" s="70">
        <v>15</v>
      </c>
      <c r="H19" s="69" t="str">
        <f>"=&gt;"</f>
        <v>=&gt;</v>
      </c>
      <c r="I19" s="70">
        <f>IF($G19&lt;&gt;0,ROUND((($E19*2+$G19)/3)*4,0),"")</f>
        <v>20</v>
      </c>
      <c r="J19" s="68"/>
      <c r="K19" s="68"/>
      <c r="L19" s="66"/>
      <c r="O19" s="1" t="s">
        <v>119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>
      <c r="B20" s="79"/>
      <c r="C20" s="12"/>
      <c r="E20" s="39"/>
      <c r="F20" s="36" t="s">
        <v>118</v>
      </c>
      <c r="G20" s="70"/>
      <c r="H20" s="69" t="str">
        <f>"=&gt;"</f>
        <v>=&gt;</v>
      </c>
      <c r="I20" s="70" t="str">
        <f>IF($G20&lt;&gt;0,ROUND((($E20*2+$G20)/3)*4,0),"")</f>
        <v/>
      </c>
      <c r="J20" s="68"/>
      <c r="K20" s="68"/>
      <c r="L20" s="66"/>
      <c r="O20" s="90" t="s">
        <v>120</v>
      </c>
      <c r="P20" s="95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>
      <c r="B21" s="79"/>
      <c r="C21" s="12"/>
      <c r="E21" s="39"/>
      <c r="F21" s="36" t="s">
        <v>118</v>
      </c>
      <c r="G21" s="36"/>
      <c r="H21" s="69" t="str">
        <f>"=&gt;"</f>
        <v>=&gt;</v>
      </c>
      <c r="I21" s="36" t="str">
        <f>IF($G21&lt;&gt;0,ROUND((($E21*2+$G21)/3)*4,0),"")</f>
        <v/>
      </c>
      <c r="O21" s="90"/>
      <c r="P21" s="95"/>
    </row>
    <row r="22" spans="2:16">
      <c r="B22" s="79"/>
      <c r="C22" s="12"/>
      <c r="E22" s="39"/>
      <c r="G22" s="35" t="s">
        <v>121</v>
      </c>
      <c r="O22" s="1" t="s">
        <v>122</v>
      </c>
      <c r="P22" s="36" t="b">
        <f>COUNTBLANK(G19:G21)&gt;0</f>
        <v>1</v>
      </c>
    </row>
    <row r="23" spans="2:16">
      <c r="B23" s="79"/>
      <c r="C23" s="18"/>
      <c r="D23" s="17"/>
      <c r="E23" s="40"/>
      <c r="G23" s="92" t="s">
        <v>50</v>
      </c>
      <c r="H23" s="92"/>
      <c r="I23" s="36">
        <v>15</v>
      </c>
      <c r="J23" s="2" t="b">
        <v>1</v>
      </c>
      <c r="O23" s="7" t="s">
        <v>79</v>
      </c>
    </row>
    <row r="24" spans="2:16">
      <c r="O24" s="1" t="s">
        <v>123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>
      <c r="B25" s="4" t="s">
        <v>124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125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>
      <c r="B26" s="79" t="s">
        <v>126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13.333333333333334</v>
      </c>
      <c r="D26" s="7" t="s">
        <v>127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40</v>
      </c>
      <c r="I26" s="72"/>
      <c r="O26" s="1" t="s">
        <v>128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>
      <c r="B27" s="93" t="s">
        <v>124</v>
      </c>
      <c r="C27" s="94">
        <f>TRUNC((17/3-C26/3)*10, 0)/10</f>
        <v>1.2</v>
      </c>
      <c r="D27" s="19" t="s">
        <v>129</v>
      </c>
      <c r="E27" s="14"/>
      <c r="F27" s="14"/>
      <c r="G27" s="61">
        <f>G26-G30</f>
        <v>40</v>
      </c>
      <c r="O27" s="7" t="s">
        <v>83</v>
      </c>
    </row>
    <row r="28" spans="2:16" ht="15.75" customHeight="1">
      <c r="B28" s="93"/>
      <c r="C28" s="94"/>
      <c r="D28" s="59" t="s">
        <v>130</v>
      </c>
      <c r="G28" s="62" cm="1">
        <f t="array" ref="G28">SUMPRODUCT(
   (D4:D17="LF") *
   ( E4:E17
    +G4:G17
    +I4:I17
    +K4:K17 )
)*2</f>
        <v>0</v>
      </c>
      <c r="O28" s="74" t="s">
        <v>131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>
      <c r="B29" s="80" t="s">
        <v>132</v>
      </c>
      <c r="C29" s="71" t="str" cm="1">
        <f t="array" ref="C29">_xlfn.LET(_xlpm.p4_wahr,ISNUMBER(IFERROR(SEARCH("WAHR",P4),"")),_xlpm.punkte,ROUND(((180*((17/3)-(C27)))-G26)+1,0),IF(AND(_xlpm.p4_wahr,C27&gt;1),"+"&amp;_xlpm.punkte&amp;" Pkt.",""))</f>
        <v/>
      </c>
      <c r="D29" s="59" t="s">
        <v>133</v>
      </c>
      <c r="G29" s="63">
        <f>G27-G28</f>
        <v>40</v>
      </c>
      <c r="O29" s="1" t="s">
        <v>134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>
      <c r="B30" s="80" t="s">
        <v>135</v>
      </c>
      <c r="C30" s="67" t="b">
        <v>0</v>
      </c>
      <c r="D30" s="18" t="s">
        <v>136</v>
      </c>
      <c r="E30" s="17"/>
      <c r="F30" s="17"/>
      <c r="G30" s="64" cm="1">
        <f t="array" ref="G30">_xlfn.LET(
  _xlpm.pf_1, IF(AND($C$30=TRUE,NOT($G$19="")),$I$19,$E$19*4),
  _xlpm.pf_2, IF(AND($C$30=TRUE,NOT($G$20="")),$I$20,$E$20*4),
  _xlpm.pf_3, IF(AND($C$30=TRUE,NOT($G$21="")),$I$21,$E$21*4),
  _xlpm.rest, SUM($E$22:$E$23)*4,
  _xlpm.pf_1+_xlpm.pf_2+_xlpm.pf_3+_xlpm.rest
)</f>
        <v>0</v>
      </c>
      <c r="O30" s="1" t="s">
        <v>137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>
      <c r="O31" s="7" t="s">
        <v>88</v>
      </c>
    </row>
    <row r="32" spans="2:16">
      <c r="B32" s="91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1"/>
      <c r="D32" s="91"/>
      <c r="E32" s="91"/>
      <c r="F32" s="91"/>
      <c r="G32" s="91"/>
      <c r="O32" s="1" t="s">
        <v>138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>
      <c r="B33" s="91"/>
      <c r="C33" s="91"/>
      <c r="D33" s="91"/>
      <c r="E33" s="91"/>
      <c r="F33" s="91"/>
      <c r="G33" s="91"/>
      <c r="O33" s="1" t="s">
        <v>139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>
      <c r="B34" s="91"/>
      <c r="C34" s="91"/>
      <c r="D34" s="91"/>
      <c r="E34" s="91"/>
      <c r="F34" s="91"/>
      <c r="G34" s="91"/>
      <c r="O34" s="1" t="s">
        <v>140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>
      <c r="B35" s="86"/>
      <c r="C35" s="87"/>
      <c r="D35" s="87"/>
      <c r="E35" s="87"/>
      <c r="F35" s="87"/>
      <c r="G35" s="87"/>
      <c r="O35" s="1" t="s">
        <v>141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>
      <c r="B36" s="4" t="s">
        <v>142</v>
      </c>
      <c r="C36" s="73"/>
      <c r="D36" s="73"/>
      <c r="E36" s="73"/>
      <c r="F36" s="73"/>
      <c r="G36" s="73"/>
      <c r="H36" s="3"/>
      <c r="I36" s="3"/>
      <c r="J36" s="3"/>
      <c r="K36" s="3"/>
      <c r="L36" s="3"/>
      <c r="O36" s="7" t="s">
        <v>51</v>
      </c>
    </row>
    <row r="37" spans="2:16">
      <c r="B37" s="1"/>
      <c r="M37" s="42"/>
      <c r="O37" s="1" t="s">
        <v>143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>
      <c r="O38" s="1" t="s">
        <v>144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>
      <c r="E39" s="36"/>
      <c r="O39" s="1" t="s">
        <v>145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>
      <c r="B40" s="78"/>
      <c r="O40" s="45" t="s">
        <v>146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>
      <c r="O41" s="83"/>
      <c r="P41" s="83"/>
    </row>
    <row r="42" spans="2:16">
      <c r="O42" s="84" t="s">
        <v>62</v>
      </c>
      <c r="P42" s="83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4:L17 E39 C30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P20:P21"/>
    <mergeCell ref="O13:O14"/>
    <mergeCell ref="P13:P14"/>
    <mergeCell ref="O17:O18"/>
    <mergeCell ref="P17:P18"/>
    <mergeCell ref="B32:G34"/>
    <mergeCell ref="G23:H23"/>
    <mergeCell ref="B27:B28"/>
    <mergeCell ref="C27:C28"/>
    <mergeCell ref="O20:O21"/>
  </mergeCells>
  <conditionalFormatting sqref="B29">
    <cfRule type="expression" dxfId="44" priority="2">
      <formula>$C$29&lt;&gt;""</formula>
    </cfRule>
  </conditionalFormatting>
  <conditionalFormatting sqref="C4:C17">
    <cfRule type="expression" dxfId="43" priority="95">
      <formula>NOT(INDEX($C:$C,ROW())="")</formula>
    </cfRule>
  </conditionalFormatting>
  <conditionalFormatting sqref="C4:L17">
    <cfRule type="expression" dxfId="42" priority="85">
      <formula>ISBLANK(INDEX($C:$C, ROW()))</formula>
    </cfRule>
    <cfRule type="expression" dxfId="41" priority="96">
      <formula>AND(INDEX($C:$C,ROW())&lt;&gt;"", OR(INDEX($C:$C,ROW()+1)="", INDEX($C:$C,ROW()+1)="Kurs"))</formula>
    </cfRule>
  </conditionalFormatting>
  <conditionalFormatting sqref="D4:D17">
    <cfRule type="expression" dxfId="40" priority="93">
      <formula>NOT(INDEX($C:$C,ROW())="")</formula>
    </cfRule>
  </conditionalFormatting>
  <conditionalFormatting sqref="E19:E23">
    <cfRule type="expression" dxfId="39" priority="88" stopIfTrue="1">
      <formula>E19&lt;&gt;""</formula>
    </cfRule>
  </conditionalFormatting>
  <conditionalFormatting sqref="E39">
    <cfRule type="expression" dxfId="38" priority="25">
      <formula>ISBLANK(INDEX($C:$C, ROW()))</formula>
    </cfRule>
    <cfRule type="expression" dxfId="37" priority="29">
      <formula>$J39=TRUE</formula>
    </cfRule>
    <cfRule type="expression" dxfId="36" priority="30">
      <formula>AND(INDEX($C:$C,ROW())&lt;&gt;"", OR(INDEX($C:$C,ROW()+1)="", INDEX($C:$C,ROW()+1)="Kurs"))</formula>
    </cfRule>
  </conditionalFormatting>
  <conditionalFormatting sqref="E4:F17">
    <cfRule type="expression" dxfId="35" priority="92">
      <formula>$F4=TRUE</formula>
    </cfRule>
  </conditionalFormatting>
  <conditionalFormatting sqref="F19:F21">
    <cfRule type="expression" dxfId="34" priority="3">
      <formula>G19=""</formula>
    </cfRule>
  </conditionalFormatting>
  <conditionalFormatting sqref="F18:I21">
    <cfRule type="expression" dxfId="33" priority="5">
      <formula>$C$30=FALSE</formula>
    </cfRule>
  </conditionalFormatting>
  <conditionalFormatting sqref="G19 I19">
    <cfRule type="expression" dxfId="32" priority="8">
      <formula>$C$30=TRUE</formula>
    </cfRule>
  </conditionalFormatting>
  <conditionalFormatting sqref="G19:G21 I19:I21">
    <cfRule type="expression" dxfId="31" priority="7">
      <formula>$C$30=TRUE</formula>
    </cfRule>
    <cfRule type="expression" dxfId="30" priority="10" stopIfTrue="1">
      <formula>G19&lt;&gt;""</formula>
    </cfRule>
  </conditionalFormatting>
  <conditionalFormatting sqref="G21 I21">
    <cfRule type="expression" dxfId="29" priority="9">
      <formula>$C$30=TRUE</formula>
    </cfRule>
  </conditionalFormatting>
  <conditionalFormatting sqref="G26">
    <cfRule type="expression" dxfId="28" priority="1">
      <formula>OR(ISNUMBER(FIND("FALSCH",""&amp;P4&amp;"")), ISNUMBER(FIND("ZU VIELE",""&amp;P4&amp;"")))</formula>
    </cfRule>
  </conditionalFormatting>
  <conditionalFormatting sqref="G4:H17">
    <cfRule type="expression" dxfId="27" priority="91">
      <formula>$H4=TRUE</formula>
    </cfRule>
  </conditionalFormatting>
  <conditionalFormatting sqref="G18:I18">
    <cfRule type="expression" dxfId="26" priority="17">
      <formula>$C$30=TRUE</formula>
    </cfRule>
  </conditionalFormatting>
  <conditionalFormatting sqref="H19:H21">
    <cfRule type="expression" dxfId="25" priority="6">
      <formula>G19=""</formula>
    </cfRule>
  </conditionalFormatting>
  <conditionalFormatting sqref="I4:J17">
    <cfRule type="expression" dxfId="24" priority="90">
      <formula>$J4=TRUE</formula>
    </cfRule>
  </conditionalFormatting>
  <conditionalFormatting sqref="I23:J23">
    <cfRule type="expression" dxfId="23" priority="64">
      <formula>$J$23=TRUE</formula>
    </cfRule>
  </conditionalFormatting>
  <conditionalFormatting sqref="K4:L17">
    <cfRule type="expression" dxfId="22" priority="89">
      <formula>$L4=TRUE</formula>
    </cfRule>
  </conditionalFormatting>
  <conditionalFormatting sqref="L4:L17">
    <cfRule type="expression" dxfId="21" priority="94">
      <formula>NOT(ISBLANK(INDEX($C:$C,ROW())))</formula>
    </cfRule>
  </conditionalFormatting>
  <conditionalFormatting sqref="P4">
    <cfRule type="expression" dxfId="20" priority="61">
      <formula>OR(ISNUMBER(FIND("FALSCH",""&amp;P4&amp;"")), ISNUMBER(FIND("ZU VIELE",""&amp;P4&amp;"")))</formula>
    </cfRule>
  </conditionalFormatting>
  <conditionalFormatting sqref="P4:P40">
    <cfRule type="expression" dxfId="19" priority="105">
      <formula>OR(ISNUMBER(FIND("FALSCH",""&amp;P4&amp;"")), ISNUMBER(FIND("FALSE",""&amp;P4&amp;"")))</formula>
    </cfRule>
    <cfRule type="expression" dxfId="18" priority="106">
      <formula>OR(ISNUMBER(FIND("WAHR",""&amp;P4&amp;"")), ISNUMBER(FIND("TRUE",""&amp;P4&amp;"")))</formula>
    </cfRule>
  </conditionalFormatting>
  <conditionalFormatting sqref="P13">
    <cfRule type="expression" dxfId="17" priority="31">
      <formula>$P$13="AUSFÜLLEN"</formula>
    </cfRule>
  </conditionalFormatting>
  <dataValidations count="7">
    <dataValidation type="list" allowBlank="1" showInputMessage="1" showErrorMessage="1" sqref="D4:D14" xr:uid="{76D08568-7405-443A-8A10-52449937BAB0}">
      <formula1>"LF,3. PF,4. PF,5. PK"</formula1>
    </dataValidation>
    <dataValidation type="list" allowBlank="1" showInputMessage="1" showErrorMessage="1" sqref="E19:E23 I23" xr:uid="{E294F665-1A0E-4CED-901A-ED019A07BDFF}">
      <formula1>"15,14,13,12,11,10,9,8,7,6,5,4,3,2,1,0"</formula1>
    </dataValidation>
    <dataValidation allowBlank="1" showInputMessage="1" showErrorMessage="1" sqref="D15 D18 C30" xr:uid="{8C109FF9-B60A-4EEA-BCD2-CAD4AA34BC0F}"/>
    <dataValidation type="custom" showInputMessage="1" showErrorMessage="1" sqref="L4:L17 F4:F17 H4:H17 J4:J17 E39" xr:uid="{20C1F147-95C0-4A68-ABFF-809FD58E2018}">
      <formula1>AND(D4&gt;=1, OR( ISNUMBER(FIND("FALSCH", $P$4&amp;"")), E4=FALSE ))</formula1>
    </dataValidation>
    <dataValidation type="list" showInputMessage="1" showErrorMessage="1" sqref="E4:E17 G4:G17 I4:I17 K4:K17" xr:uid="{64B32533-5C32-4B11-A201-85B8DC592B58}">
      <formula1>"15,14,13,12,11,10,9,8,7,6,5,4,3,2,1,0"</formula1>
    </dataValidation>
    <dataValidation type="custom" allowBlank="1" showInputMessage="1" showErrorMessage="1" sqref="J23" xr:uid="{FA568471-A7AD-1D43-9F09-288AF912D6C9}">
      <formula1>OR(AND(N($I$23)&gt;=1,ISNUMBER(FIND("FALSCH",""&amp;P4&amp;""))),$J$23=FALSE)</formula1>
    </dataValidation>
    <dataValidation type="list" allowBlank="1" showInputMessage="1" showErrorMessage="1" sqref="G19:G21" xr:uid="{81E39E91-0184-4755-9BE2-AD53D8B3ECE8}">
      <formula1>"15,14,13,12,11,10,9,8,7,6,5,4,3,2,1"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6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7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14:cfRule type="expression" priority="28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4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6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14:cfRule type="expression" priority="87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2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6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7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3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3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5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0625" defaultRowHeight="15"/>
  <cols>
    <col min="1" max="1" width="2.85546875" style="1" customWidth="1"/>
    <col min="2" max="16384" width="9.140625" style="1"/>
  </cols>
  <sheetData>
    <row r="1" spans="1:12">
      <c r="B1" s="76"/>
    </row>
    <row r="2" spans="1:12" ht="18.75">
      <c r="A2" s="30"/>
      <c r="B2" s="28" t="s">
        <v>147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>
      <c r="B4" s="82" t="s">
        <v>17</v>
      </c>
    </row>
    <row r="5" spans="1:12" ht="18.75" customHeight="1">
      <c r="B5" s="22" t="s">
        <v>148</v>
      </c>
    </row>
    <row r="6" spans="1:12" ht="18.75" customHeight="1">
      <c r="B6" s="22"/>
    </row>
    <row r="7" spans="1:12" ht="18.75" customHeight="1">
      <c r="B7" s="82" t="s">
        <v>5</v>
      </c>
    </row>
    <row r="8" spans="1:12" ht="18.75" customHeight="1">
      <c r="B8" s="31" t="s">
        <v>149</v>
      </c>
    </row>
    <row r="9" spans="1:12" ht="48.75" customHeight="1">
      <c r="B9" s="97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97"/>
      <c r="D9" s="97"/>
      <c r="E9" s="97"/>
      <c r="F9" s="97"/>
      <c r="G9" s="97"/>
      <c r="H9" s="97"/>
      <c r="I9" s="97"/>
      <c r="J9" s="97"/>
      <c r="K9" s="97"/>
      <c r="L9" s="97"/>
    </row>
    <row r="10" spans="1:12" ht="18.75" customHeight="1">
      <c r="B10" s="31" t="s">
        <v>150</v>
      </c>
      <c r="C10" s="75"/>
      <c r="D10" s="75"/>
      <c r="E10" s="75"/>
      <c r="F10" s="75"/>
      <c r="G10" s="75"/>
      <c r="H10" s="75"/>
    </row>
    <row r="11" spans="1:12" ht="18.75" customHeight="1">
      <c r="B11" s="31" t="s">
        <v>151</v>
      </c>
      <c r="C11" s="75"/>
      <c r="D11" s="75"/>
      <c r="E11" s="75"/>
      <c r="F11" s="75"/>
      <c r="G11" s="75"/>
      <c r="H11" s="75"/>
    </row>
    <row r="12" spans="1:12" ht="18.75" customHeight="1"/>
    <row r="13" spans="1:12" ht="18.75" customHeight="1">
      <c r="B13" s="82" t="s">
        <v>7</v>
      </c>
    </row>
    <row r="14" spans="1:12" ht="18.75" customHeight="1">
      <c r="B14" s="25" t="s">
        <v>152</v>
      </c>
    </row>
    <row r="15" spans="1:12" ht="18.75" customHeight="1">
      <c r="B15" s="25" t="s">
        <v>153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4" priority="3">
      <formula>LEN($C8&amp;"")&gt;0</formula>
    </cfRule>
  </conditionalFormatting>
  <conditionalFormatting sqref="C8:G8 B9">
    <cfRule type="expression" dxfId="3" priority="1">
      <formula>OR(AND($C8="Kurs",COLUMN()&lt;&gt;COLUMN($B:$B)), $B9="ALLE")</formula>
    </cfRule>
  </conditionalFormatting>
  <conditionalFormatting sqref="D8">
    <cfRule type="expression" dxfId="2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2025-10-09T21:41:34Z</dcterms:created>
  <dcterms:modified xsi:type="dcterms:W3CDTF">2026-02-07T14:40:40Z</dcterms:modified>
  <cp:category/>
  <cp:contentStatus/>
</cp:coreProperties>
</file>